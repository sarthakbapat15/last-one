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73DC3CC-199B-4F1B-BF60-342B81E6CCA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Quotation" sheetId="4" r:id="rId1"/>
    <sheet name="Workbook" sheetId="6" r:id="rId2"/>
  </sheets>
  <definedNames>
    <definedName name="_xlnm.Print_Area" localSheetId="0">Quotation!$B$3:$E$79</definedName>
    <definedName name="_xlnm.Print_Area" localSheetId="1">Workbook!$B$1:$M$43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9" i="6" l="1"/>
  <c r="L42" i="6"/>
  <c r="L36" i="6"/>
  <c r="L31" i="6"/>
  <c r="L27" i="6"/>
  <c r="L20" i="6"/>
  <c r="L14" i="6"/>
  <c r="L5" i="6"/>
  <c r="J42" i="6"/>
  <c r="J14" i="6"/>
  <c r="J36" i="6"/>
  <c r="J9" i="6"/>
  <c r="J25" i="6"/>
  <c r="H25" i="6"/>
  <c r="J41" i="6"/>
  <c r="H41" i="6"/>
  <c r="F40" i="6"/>
  <c r="H40" i="6" s="1"/>
  <c r="J40" i="6" s="1"/>
  <c r="F35" i="6"/>
  <c r="H35" i="6" s="1"/>
  <c r="J35" i="6" s="1"/>
  <c r="J13" i="6"/>
  <c r="F17" i="6"/>
  <c r="J18" i="6"/>
  <c r="H18" i="6"/>
  <c r="F11" i="6"/>
  <c r="H11" i="6" s="1"/>
  <c r="J11" i="6" s="1"/>
  <c r="F3" i="6"/>
  <c r="H3" i="6" s="1"/>
  <c r="J3" i="6" s="1"/>
  <c r="J5" i="6" s="1"/>
  <c r="J12" i="6"/>
  <c r="F39" i="6"/>
  <c r="H39" i="6" s="1"/>
  <c r="J39" i="6" s="1"/>
  <c r="F24" i="6"/>
  <c r="M42" i="6" l="1"/>
  <c r="H24" i="6"/>
  <c r="J24" i="6" s="1"/>
  <c r="F23" i="6" l="1"/>
  <c r="H23" i="6" s="1"/>
  <c r="J23" i="6" l="1"/>
  <c r="J27" i="6" l="1"/>
  <c r="M27" i="6" s="1"/>
  <c r="F30" i="6"/>
  <c r="H30" i="6" s="1"/>
  <c r="J30" i="6" s="1"/>
  <c r="J31" i="6" s="1"/>
  <c r="F34" i="6"/>
  <c r="H34" i="6" s="1"/>
  <c r="J34" i="6" s="1"/>
  <c r="M36" i="6" l="1"/>
  <c r="F8" i="6"/>
  <c r="H17" i="6" l="1"/>
  <c r="J17" i="6" s="1"/>
  <c r="J20" i="6" s="1"/>
  <c r="H8" i="6"/>
  <c r="J8" i="6" s="1"/>
  <c r="M9" i="6" l="1"/>
  <c r="M20" i="6" l="1"/>
  <c r="M31" i="6"/>
  <c r="M5" i="6" l="1"/>
  <c r="M14" i="6" l="1"/>
</calcChain>
</file>

<file path=xl/sharedStrings.xml><?xml version="1.0" encoding="utf-8"?>
<sst xmlns="http://schemas.openxmlformats.org/spreadsheetml/2006/main" count="97" uniqueCount="92">
  <si>
    <t>PIONEER ENTERPRISES</t>
  </si>
  <si>
    <t>GAT. NO.63, PLOT NO. 6/B, A/P SHINDEWADI, TAL. BHOR, DIST. PUNE-412205</t>
  </si>
  <si>
    <t xml:space="preserve">                                                                                         </t>
  </si>
  <si>
    <t>To,</t>
  </si>
  <si>
    <t>Sr.No.</t>
  </si>
  <si>
    <t>Particulars</t>
  </si>
  <si>
    <t>Qty.</t>
  </si>
  <si>
    <t>Amount</t>
  </si>
  <si>
    <t>1]</t>
  </si>
  <si>
    <t>2]</t>
  </si>
  <si>
    <t>3]</t>
  </si>
  <si>
    <t>4]</t>
  </si>
  <si>
    <t>5]</t>
  </si>
  <si>
    <t>6]</t>
  </si>
  <si>
    <t>7]</t>
  </si>
  <si>
    <t>8]</t>
  </si>
  <si>
    <t>9]</t>
  </si>
  <si>
    <t>10]</t>
  </si>
  <si>
    <t>11]</t>
  </si>
  <si>
    <t>12]</t>
  </si>
  <si>
    <t>Loading/Unloading/Transportation/Packaging</t>
  </si>
  <si>
    <t>TERMS &amp; CONDITIONS:-</t>
  </si>
  <si>
    <t>Quotation is valid for One Month.</t>
  </si>
  <si>
    <t>Any changes in design will be charged extra.</t>
  </si>
  <si>
    <t>Any changes in design or material finishes might increase the cost</t>
  </si>
  <si>
    <t>10%  Post Handover</t>
  </si>
  <si>
    <t>Work will be commenced only after the Advance Given.</t>
  </si>
  <si>
    <t>Delivery of Goods:- Ex-Factory.</t>
  </si>
  <si>
    <t>The charges for Labour Unions &amp; Mathadi Kamgar for  unloading upto the Installation will be borne by client.</t>
  </si>
  <si>
    <t>Plumbing and Electrical fitting charges will be extra.</t>
  </si>
  <si>
    <t>Structural warrenty -10 yers</t>
  </si>
  <si>
    <t xml:space="preserve">Hardware warrenty - 5years </t>
  </si>
  <si>
    <t>Time line- 45 to 50 working days after sign off</t>
  </si>
  <si>
    <t>Furniture Dimensions may vary as per final designs.</t>
  </si>
  <si>
    <t>Regards,</t>
  </si>
  <si>
    <t>For Pioneer Enterprises</t>
  </si>
  <si>
    <t>l</t>
  </si>
  <si>
    <t>b</t>
  </si>
  <si>
    <t>sq.ft</t>
  </si>
  <si>
    <t>Quantity</t>
  </si>
  <si>
    <t>Total quantity Sq.Ft</t>
  </si>
  <si>
    <t>Rate</t>
  </si>
  <si>
    <t>Payment Details</t>
  </si>
  <si>
    <t xml:space="preserve"> </t>
  </si>
  <si>
    <t xml:space="preserve">50%  Advance </t>
  </si>
  <si>
    <t>40% Pre-Dispatch Stage</t>
  </si>
  <si>
    <t>SUB:- Tentative Budgetary Offer For Household Modular Furniture and Accessories at your Residence.</t>
  </si>
  <si>
    <r>
      <t xml:space="preserve">In </t>
    </r>
    <r>
      <rPr>
        <b/>
        <sz val="12"/>
        <rFont val="Calibri"/>
        <family val="2"/>
        <scheme val="minor"/>
      </rPr>
      <t>HDHMR</t>
    </r>
    <r>
      <rPr>
        <sz val="12"/>
        <rFont val="Calibri"/>
        <family val="2"/>
        <scheme val="minor"/>
      </rPr>
      <t xml:space="preserve"> having </t>
    </r>
    <r>
      <rPr>
        <b/>
        <sz val="12"/>
        <rFont val="Calibri"/>
        <family val="2"/>
        <scheme val="minor"/>
      </rPr>
      <t>SF Laminate</t>
    </r>
    <r>
      <rPr>
        <sz val="12"/>
        <rFont val="Calibri"/>
        <family val="2"/>
        <scheme val="minor"/>
      </rPr>
      <t xml:space="preserve"> openable shutter. </t>
    </r>
  </si>
  <si>
    <t>Bottom Profile</t>
  </si>
  <si>
    <t xml:space="preserve">SUB TOTAL </t>
  </si>
  <si>
    <t>TOTAL</t>
  </si>
  <si>
    <t>GST 18%</t>
  </si>
  <si>
    <t>GRAND TOTAL</t>
  </si>
  <si>
    <t>Mrs Radhika Ranade</t>
  </si>
  <si>
    <t>Size: 4410mmx600mm</t>
  </si>
  <si>
    <r>
      <t xml:space="preserve">Carcass in </t>
    </r>
    <r>
      <rPr>
        <b/>
        <sz val="12"/>
        <rFont val="Cambria"/>
        <family val="1"/>
      </rPr>
      <t>HDHMR</t>
    </r>
    <r>
      <rPr>
        <sz val="12"/>
        <rFont val="Cambria"/>
        <family val="1"/>
      </rPr>
      <t xml:space="preserve"> having </t>
    </r>
    <r>
      <rPr>
        <b/>
        <sz val="12"/>
        <rFont val="Cambria"/>
        <family val="1"/>
      </rPr>
      <t>HG</t>
    </r>
    <r>
      <rPr>
        <sz val="12"/>
        <rFont val="Cambria"/>
        <family val="1"/>
      </rPr>
      <t xml:space="preserve"> </t>
    </r>
    <r>
      <rPr>
        <b/>
        <sz val="12"/>
        <rFont val="Cambria"/>
        <family val="1"/>
      </rPr>
      <t>Laminate</t>
    </r>
    <r>
      <rPr>
        <sz val="12"/>
        <rFont val="Cambria"/>
        <family val="1"/>
      </rPr>
      <t xml:space="preserve"> opnable shutter.</t>
    </r>
  </si>
  <si>
    <t>Spice Box</t>
  </si>
  <si>
    <t>L shape OHS Cabinet</t>
  </si>
  <si>
    <t>Size: 1860mmx200mm</t>
  </si>
  <si>
    <r>
      <rPr>
        <sz val="12"/>
        <color theme="1"/>
        <rFont val="Cambria"/>
        <family val="1"/>
        <scheme val="major"/>
      </rPr>
      <t xml:space="preserve">In </t>
    </r>
    <r>
      <rPr>
        <b/>
        <sz val="12"/>
        <color theme="1"/>
        <rFont val="Cambria"/>
        <family val="1"/>
        <scheme val="major"/>
      </rPr>
      <t>HDHMR</t>
    </r>
    <r>
      <rPr>
        <sz val="12"/>
        <color theme="1"/>
        <rFont val="Cambria"/>
        <family val="1"/>
        <scheme val="major"/>
      </rPr>
      <t xml:space="preserve"> with </t>
    </r>
    <r>
      <rPr>
        <b/>
        <sz val="12"/>
        <color theme="1"/>
        <rFont val="Cambria"/>
        <family val="1"/>
        <scheme val="major"/>
      </rPr>
      <t>HG</t>
    </r>
    <r>
      <rPr>
        <sz val="12"/>
        <color theme="1"/>
        <rFont val="Cambria"/>
        <family val="1"/>
        <scheme val="major"/>
      </rPr>
      <t xml:space="preserve"> </t>
    </r>
    <r>
      <rPr>
        <b/>
        <sz val="12"/>
        <color theme="1"/>
        <rFont val="Cambria"/>
        <family val="1"/>
        <scheme val="major"/>
      </rPr>
      <t>Laminate</t>
    </r>
    <r>
      <rPr>
        <sz val="12"/>
        <color theme="1"/>
        <rFont val="Cambria"/>
        <family val="1"/>
        <scheme val="major"/>
      </rPr>
      <t xml:space="preserve"> with bottom Profile Openable Shutter with Aqua Unit &amp; GTPT.  </t>
    </r>
    <r>
      <rPr>
        <b/>
        <sz val="12"/>
        <color theme="1"/>
        <rFont val="Cambria"/>
        <family val="1"/>
        <scheme val="major"/>
      </rPr>
      <t xml:space="preserve"> </t>
    </r>
  </si>
  <si>
    <t>Sliding Door Unit Between Kitchen Top</t>
  </si>
  <si>
    <t>Size: 1600mmX250mmX400mm</t>
  </si>
  <si>
    <t>Sliding Track</t>
  </si>
  <si>
    <t>Folding Dining Table + Crockery Unit</t>
  </si>
  <si>
    <t>Crockery Unit Size:1700mmX360mmX2100mm</t>
  </si>
  <si>
    <t>Dining Table Size:1000mmX1500mm</t>
  </si>
  <si>
    <t>Partition Unit</t>
  </si>
  <si>
    <t>Back Panel Size: 1500mm x 2100mm</t>
  </si>
  <si>
    <r>
      <t xml:space="preserve">In </t>
    </r>
    <r>
      <rPr>
        <b/>
        <sz val="12"/>
        <rFont val="Calibri"/>
        <family val="2"/>
        <scheme val="minor"/>
      </rPr>
      <t xml:space="preserve">HDHMR </t>
    </r>
    <r>
      <rPr>
        <sz val="12"/>
        <rFont val="Calibri"/>
        <family val="2"/>
        <scheme val="minor"/>
      </rPr>
      <t xml:space="preserve">having </t>
    </r>
    <r>
      <rPr>
        <b/>
        <sz val="12"/>
        <rFont val="Calibri"/>
        <family val="2"/>
        <scheme val="minor"/>
      </rPr>
      <t>SF</t>
    </r>
    <r>
      <rPr>
        <sz val="12"/>
        <rFont val="Calibri"/>
        <family val="2"/>
        <scheme val="minor"/>
      </rPr>
      <t xml:space="preserve"> Laminate.</t>
    </r>
  </si>
  <si>
    <t>Basin Unit Modification</t>
  </si>
  <si>
    <t>Size: 1400mmX 500mm X1950mm</t>
  </si>
  <si>
    <t xml:space="preserve">GTPT 600mm </t>
  </si>
  <si>
    <t>Under Washbasin Unit Size: 700mmX500mmX750mm</t>
  </si>
  <si>
    <t>Size: 950mmX450mmX2150mm</t>
  </si>
  <si>
    <t>Ebco mechanism for dining Table</t>
  </si>
  <si>
    <t>1)</t>
  </si>
  <si>
    <t>2)</t>
  </si>
  <si>
    <t>3)</t>
  </si>
  <si>
    <t>4)</t>
  </si>
  <si>
    <r>
      <rPr>
        <sz val="12"/>
        <color theme="1"/>
        <rFont val="Cambria"/>
        <family val="1"/>
        <scheme val="major"/>
      </rPr>
      <t xml:space="preserve">In </t>
    </r>
    <r>
      <rPr>
        <b/>
        <sz val="12"/>
        <color theme="1"/>
        <rFont val="Cambria"/>
        <family val="1"/>
        <scheme val="major"/>
      </rPr>
      <t>HDHMR</t>
    </r>
    <r>
      <rPr>
        <sz val="12"/>
        <color theme="1"/>
        <rFont val="Cambria"/>
        <family val="1"/>
        <scheme val="major"/>
      </rPr>
      <t xml:space="preserve"> with</t>
    </r>
    <r>
      <rPr>
        <b/>
        <sz val="12"/>
        <color theme="1"/>
        <rFont val="Cambria"/>
        <family val="1"/>
        <scheme val="major"/>
      </rPr>
      <t xml:space="preserve"> HG Laminate</t>
    </r>
    <r>
      <rPr>
        <sz val="12"/>
        <color theme="1"/>
        <rFont val="Cambria"/>
        <family val="1"/>
        <scheme val="major"/>
      </rPr>
      <t xml:space="preserve"> sliding Shutter.  </t>
    </r>
    <r>
      <rPr>
        <b/>
        <sz val="12"/>
        <color theme="1"/>
        <rFont val="Cambria"/>
        <family val="1"/>
        <scheme val="major"/>
      </rPr>
      <t xml:space="preserve"> </t>
    </r>
  </si>
  <si>
    <t>5)</t>
  </si>
  <si>
    <r>
      <t xml:space="preserve">In </t>
    </r>
    <r>
      <rPr>
        <b/>
        <sz val="12"/>
        <rFont val="Calibri"/>
        <family val="2"/>
        <scheme val="minor"/>
      </rPr>
      <t>HDHMR</t>
    </r>
    <r>
      <rPr>
        <sz val="12"/>
        <rFont val="Calibri"/>
        <family val="2"/>
        <scheme val="minor"/>
      </rPr>
      <t xml:space="preserve"> With </t>
    </r>
    <r>
      <rPr>
        <b/>
        <sz val="12"/>
        <rFont val="Calibri"/>
        <family val="2"/>
        <scheme val="minor"/>
      </rPr>
      <t>SF</t>
    </r>
    <r>
      <rPr>
        <sz val="12"/>
        <rFont val="Calibri"/>
        <family val="2"/>
        <scheme val="minor"/>
      </rPr>
      <t xml:space="preserve"> </t>
    </r>
    <r>
      <rPr>
        <b/>
        <sz val="12"/>
        <rFont val="Calibri"/>
        <family val="2"/>
        <scheme val="minor"/>
      </rPr>
      <t>Laminate</t>
    </r>
    <r>
      <rPr>
        <sz val="12"/>
        <rFont val="Calibri"/>
        <family val="2"/>
        <scheme val="minor"/>
      </rPr>
      <t xml:space="preserve"> wall Mounted dining Table and glass openable shutter.</t>
    </r>
  </si>
  <si>
    <t>6)</t>
  </si>
  <si>
    <t>Loft (L shape) Creation</t>
  </si>
  <si>
    <r>
      <t xml:space="preserve">Carcass in </t>
    </r>
    <r>
      <rPr>
        <b/>
        <sz val="12"/>
        <rFont val="Cambria"/>
        <family val="1"/>
      </rPr>
      <t>HDHMR</t>
    </r>
    <r>
      <rPr>
        <sz val="12"/>
        <rFont val="Cambria"/>
        <family val="1"/>
      </rPr>
      <t xml:space="preserve"> having </t>
    </r>
    <r>
      <rPr>
        <b/>
        <sz val="12"/>
        <rFont val="Cambria"/>
        <family val="1"/>
      </rPr>
      <t>HG</t>
    </r>
    <r>
      <rPr>
        <sz val="12"/>
        <rFont val="Cambria"/>
        <family val="1"/>
      </rPr>
      <t xml:space="preserve"> </t>
    </r>
    <r>
      <rPr>
        <b/>
        <sz val="12"/>
        <rFont val="Cambria"/>
        <family val="1"/>
      </rPr>
      <t>Laminate</t>
    </r>
    <r>
      <rPr>
        <sz val="12"/>
        <rFont val="Cambria"/>
        <family val="1"/>
      </rPr>
      <t>.</t>
    </r>
  </si>
  <si>
    <t>Size: 2960mmX320mmX600mm</t>
  </si>
  <si>
    <t>Crockery Cum Appliances Unit</t>
  </si>
  <si>
    <t>Glass Profile shutter Size: 950mmX600mm</t>
  </si>
  <si>
    <t xml:space="preserve">Drawer Size: 475mmX 450mmX250mm </t>
  </si>
  <si>
    <r>
      <t xml:space="preserve">In </t>
    </r>
    <r>
      <rPr>
        <b/>
        <sz val="12"/>
        <rFont val="Calibri"/>
        <family val="2"/>
        <scheme val="minor"/>
      </rPr>
      <t>HDHMR</t>
    </r>
    <r>
      <rPr>
        <sz val="12"/>
        <rFont val="Calibri"/>
        <family val="2"/>
        <scheme val="minor"/>
      </rPr>
      <t xml:space="preserve"> having </t>
    </r>
    <r>
      <rPr>
        <b/>
        <sz val="12"/>
        <rFont val="Calibri"/>
        <family val="2"/>
        <scheme val="minor"/>
      </rPr>
      <t>SF Laminate</t>
    </r>
    <r>
      <rPr>
        <sz val="12"/>
        <rFont val="Calibri"/>
        <family val="2"/>
        <scheme val="minor"/>
      </rPr>
      <t xml:space="preserve"> and </t>
    </r>
    <r>
      <rPr>
        <b/>
        <sz val="12"/>
        <rFont val="Calibri"/>
        <family val="2"/>
        <scheme val="minor"/>
      </rPr>
      <t>Glass</t>
    </r>
    <r>
      <rPr>
        <sz val="12"/>
        <rFont val="Calibri"/>
        <family val="2"/>
        <scheme val="minor"/>
      </rPr>
      <t xml:space="preserve"> </t>
    </r>
    <r>
      <rPr>
        <b/>
        <sz val="12"/>
        <rFont val="Calibri"/>
        <family val="2"/>
        <scheme val="minor"/>
      </rPr>
      <t>profile</t>
    </r>
    <r>
      <rPr>
        <sz val="12"/>
        <rFont val="Calibri"/>
        <family val="2"/>
        <scheme val="minor"/>
      </rPr>
      <t xml:space="preserve"> openable shutter with drawer (</t>
    </r>
    <r>
      <rPr>
        <b/>
        <sz val="12"/>
        <rFont val="Calibri"/>
        <family val="2"/>
        <scheme val="minor"/>
      </rPr>
      <t>Qty 4</t>
    </r>
    <r>
      <rPr>
        <sz val="12"/>
        <rFont val="Calibri"/>
        <family val="2"/>
        <scheme val="minor"/>
      </rPr>
      <t xml:space="preserve">). </t>
    </r>
  </si>
  <si>
    <t>`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</si>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</sst>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</numFmts>
  <fonts count="4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3" tint="0.39991454817346722"/>
      <name val="Calibri"/>
      <family val="2"/>
      <scheme val="minor"/>
    </font>
    <font>
      <b/>
      <sz val="12"/>
      <color rgb="FFFF0000"/>
      <name val="Cambria"/>
      <family val="1"/>
    </font>
    <font>
      <sz val="11"/>
      <color theme="1"/>
      <name val="Cambria"/>
      <family val="1"/>
    </font>
    <font>
      <b/>
      <sz val="11"/>
      <color theme="1"/>
      <name val="Calibri"/>
      <family val="2"/>
      <scheme val="minor"/>
    </font>
    <font>
      <b/>
      <sz val="11"/>
      <color rgb="FFFF0000"/>
      <name val="Cambria"/>
      <family val="1"/>
    </font>
    <font>
      <sz val="12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2"/>
      <color rgb="FF403152"/>
      <name val="Cambria"/>
      <family val="1"/>
      <scheme val="major"/>
    </font>
    <font>
      <b/>
      <sz val="12"/>
      <color rgb="FF0070C0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12"/>
      <name val="Cambria"/>
      <family val="1"/>
      <scheme val="maj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Times New Roman"/>
      <family val="1"/>
    </font>
    <font>
      <sz val="12"/>
      <name val="Cambria"/>
      <family val="1"/>
      <scheme val="major"/>
    </font>
    <font>
      <sz val="12"/>
      <name val="Calibri"/>
      <family val="2"/>
      <scheme val="minor"/>
    </font>
    <font>
      <b/>
      <sz val="12"/>
      <color rgb="FFFF0000"/>
      <name val="Cambria"/>
      <family val="1"/>
      <scheme val="major"/>
    </font>
    <font>
      <b/>
      <sz val="12"/>
      <color rgb="FFC00000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rgb="FFC00000"/>
      <name val="Times New Roman"/>
      <family val="1"/>
    </font>
    <font>
      <b/>
      <u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rgb="FF000099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name val="Cambria"/>
      <family val="1"/>
    </font>
    <font>
      <sz val="12"/>
      <color theme="1"/>
      <name val="Cambria"/>
      <family val="1"/>
      <scheme val="major"/>
    </font>
    <font>
      <sz val="12"/>
      <color rgb="FF000099"/>
      <name val="Cambria"/>
      <family val="1"/>
      <scheme val="maj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6" tint="0.39997558519241921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164" fontId="32" fillId="0" borderId="0" applyFont="0" applyFill="0" applyBorder="0" applyAlignment="0" applyProtection="0"/>
  </cellStyleXfs>
  <cellXfs count="190">
    <xf numFmtId="0" fontId="0" fillId="0" borderId="0" xfId="0"/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2" xfId="0" applyBorder="1"/>
    <xf numFmtId="0" fontId="0" fillId="0" borderId="3" xfId="0" applyBorder="1"/>
    <xf numFmtId="0" fontId="4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top"/>
    </xf>
    <xf numFmtId="0" fontId="7" fillId="0" borderId="0" xfId="0" applyFont="1" applyAlignment="1">
      <alignment horizontal="center"/>
    </xf>
    <xf numFmtId="0" fontId="10" fillId="0" borderId="8" xfId="0" applyFont="1" applyBorder="1" applyAlignment="1">
      <alignment horizontal="right" wrapText="1"/>
    </xf>
    <xf numFmtId="0" fontId="10" fillId="0" borderId="8" xfId="0" applyFont="1" applyBorder="1" applyAlignment="1">
      <alignment horizontal="center"/>
    </xf>
    <xf numFmtId="0" fontId="12" fillId="0" borderId="9" xfId="0" applyFont="1" applyBorder="1"/>
    <xf numFmtId="0" fontId="11" fillId="0" borderId="9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5" fillId="0" borderId="3" xfId="0" applyFont="1" applyBorder="1"/>
    <xf numFmtId="0" fontId="12" fillId="0" borderId="3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164" fontId="12" fillId="0" borderId="13" xfId="1" applyFont="1" applyFill="1" applyBorder="1" applyAlignment="1">
      <alignment horizontal="right" vertical="center"/>
    </xf>
    <xf numFmtId="0" fontId="11" fillId="0" borderId="0" xfId="0" applyFont="1" applyBorder="1" applyAlignment="1">
      <alignment horizontal="center"/>
    </xf>
    <xf numFmtId="164" fontId="12" fillId="0" borderId="16" xfId="1" applyFont="1" applyFill="1" applyBorder="1" applyAlignment="1">
      <alignment horizontal="right" vertical="center"/>
    </xf>
    <xf numFmtId="164" fontId="7" fillId="0" borderId="0" xfId="1" applyFont="1" applyFill="1" applyBorder="1" applyAlignment="1">
      <alignment horizontal="right" vertical="center"/>
    </xf>
    <xf numFmtId="43" fontId="0" fillId="0" borderId="0" xfId="0" applyNumberFormat="1"/>
    <xf numFmtId="43" fontId="19" fillId="0" borderId="0" xfId="0" applyNumberFormat="1" applyFont="1" applyAlignment="1">
      <alignment horizontal="center"/>
    </xf>
    <xf numFmtId="0" fontId="16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center"/>
    </xf>
    <xf numFmtId="164" fontId="12" fillId="3" borderId="18" xfId="1" applyFont="1" applyFill="1" applyBorder="1" applyAlignment="1">
      <alignment horizontal="right" vertical="center"/>
    </xf>
    <xf numFmtId="164" fontId="26" fillId="0" borderId="0" xfId="0" applyNumberFormat="1" applyFont="1" applyAlignment="1">
      <alignment horizontal="center"/>
    </xf>
    <xf numFmtId="0" fontId="23" fillId="0" borderId="8" xfId="0" applyFont="1" applyBorder="1" applyAlignment="1">
      <alignment horizontal="center"/>
    </xf>
    <xf numFmtId="164" fontId="23" fillId="0" borderId="9" xfId="0" applyNumberFormat="1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164" fontId="17" fillId="0" borderId="0" xfId="1" applyFon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164" fontId="33" fillId="0" borderId="0" xfId="1" applyFont="1" applyBorder="1" applyAlignment="1">
      <alignment vertical="center"/>
    </xf>
    <xf numFmtId="0" fontId="0" fillId="0" borderId="9" xfId="0" applyBorder="1" applyAlignment="1">
      <alignment horizontal="center"/>
    </xf>
    <xf numFmtId="0" fontId="10" fillId="0" borderId="0" xfId="0" applyFont="1" applyBorder="1" applyAlignment="1">
      <alignment horizontal="right" wrapText="1"/>
    </xf>
    <xf numFmtId="0" fontId="0" fillId="2" borderId="20" xfId="0" applyFill="1" applyBorder="1" applyAlignment="1">
      <alignment horizontal="center"/>
    </xf>
    <xf numFmtId="0" fontId="28" fillId="2" borderId="15" xfId="0" applyFont="1" applyFill="1" applyBorder="1"/>
    <xf numFmtId="0" fontId="11" fillId="0" borderId="0" xfId="0" applyFont="1" applyBorder="1" applyAlignment="1">
      <alignment horizontal="left" vertical="center" wrapText="1"/>
    </xf>
    <xf numFmtId="164" fontId="20" fillId="0" borderId="16" xfId="1" applyFont="1" applyBorder="1" applyAlignment="1">
      <alignment horizontal="center" vertical="center" wrapText="1"/>
    </xf>
    <xf numFmtId="164" fontId="20" fillId="0" borderId="9" xfId="1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/>
    </xf>
    <xf numFmtId="0" fontId="17" fillId="2" borderId="21" xfId="0" applyFont="1" applyFill="1" applyBorder="1" applyAlignment="1">
      <alignment horizontal="center"/>
    </xf>
    <xf numFmtId="0" fontId="17" fillId="2" borderId="15" xfId="0" applyFont="1" applyFill="1" applyBorder="1" applyAlignment="1">
      <alignment horizontal="center"/>
    </xf>
    <xf numFmtId="0" fontId="38" fillId="0" borderId="0" xfId="0" applyFont="1"/>
    <xf numFmtId="0" fontId="5" fillId="0" borderId="0" xfId="0" applyFont="1" applyBorder="1"/>
    <xf numFmtId="0" fontId="7" fillId="0" borderId="0" xfId="0" applyFont="1" applyBorder="1" applyAlignment="1">
      <alignment horizontal="center"/>
    </xf>
    <xf numFmtId="0" fontId="10" fillId="0" borderId="0" xfId="0" applyFont="1" applyBorder="1"/>
    <xf numFmtId="0" fontId="12" fillId="0" borderId="0" xfId="0" applyFont="1" applyBorder="1"/>
    <xf numFmtId="0" fontId="11" fillId="0" borderId="0" xfId="0" applyFont="1" applyBorder="1"/>
    <xf numFmtId="0" fontId="13" fillId="0" borderId="0" xfId="0" applyFont="1" applyBorder="1"/>
    <xf numFmtId="0" fontId="27" fillId="0" borderId="0" xfId="0" applyFont="1" applyBorder="1" applyAlignment="1">
      <alignment horizontal="left" vertical="center"/>
    </xf>
    <xf numFmtId="164" fontId="23" fillId="0" borderId="0" xfId="0" applyNumberFormat="1" applyFont="1" applyBorder="1" applyAlignment="1">
      <alignment horizontal="center"/>
    </xf>
    <xf numFmtId="0" fontId="24" fillId="0" borderId="0" xfId="0" applyFont="1" applyBorder="1"/>
    <xf numFmtId="0" fontId="17" fillId="0" borderId="0" xfId="0" applyFont="1" applyBorder="1" applyAlignment="1">
      <alignment horizontal="center"/>
    </xf>
    <xf numFmtId="0" fontId="28" fillId="0" borderId="0" xfId="0" applyFont="1" applyBorder="1"/>
    <xf numFmtId="9" fontId="28" fillId="0" borderId="0" xfId="0" applyNumberFormat="1" applyFont="1" applyBorder="1"/>
    <xf numFmtId="0" fontId="29" fillId="0" borderId="0" xfId="0" applyFont="1" applyBorder="1"/>
    <xf numFmtId="0" fontId="30" fillId="0" borderId="0" xfId="0" applyFont="1" applyBorder="1"/>
    <xf numFmtId="0" fontId="31" fillId="0" borderId="0" xfId="0" applyFont="1" applyBorder="1" applyAlignment="1">
      <alignment horizontal="left" vertical="top" wrapText="1"/>
    </xf>
    <xf numFmtId="0" fontId="31" fillId="0" borderId="0" xfId="0" applyFont="1" applyBorder="1" applyAlignment="1">
      <alignment vertical="center" wrapText="1"/>
    </xf>
    <xf numFmtId="0" fontId="2" fillId="0" borderId="24" xfId="0" applyFont="1" applyBorder="1" applyAlignment="1">
      <alignment horizontal="center"/>
    </xf>
    <xf numFmtId="0" fontId="2" fillId="0" borderId="24" xfId="0" applyFont="1" applyBorder="1" applyAlignment="1">
      <alignment horizontal="center" wrapText="1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164" fontId="0" fillId="0" borderId="0" xfId="0" applyNumberFormat="1" applyBorder="1"/>
    <xf numFmtId="0" fontId="3" fillId="0" borderId="28" xfId="0" applyFont="1" applyBorder="1" applyAlignment="1">
      <alignment horizontal="center"/>
    </xf>
    <xf numFmtId="164" fontId="0" fillId="0" borderId="2" xfId="0" applyNumberFormat="1" applyBorder="1"/>
    <xf numFmtId="0" fontId="0" fillId="0" borderId="29" xfId="0" applyBorder="1"/>
    <xf numFmtId="164" fontId="33" fillId="0" borderId="2" xfId="1" applyFont="1" applyBorder="1" applyAlignment="1">
      <alignment vertical="center"/>
    </xf>
    <xf numFmtId="165" fontId="34" fillId="2" borderId="30" xfId="1" applyNumberFormat="1" applyFont="1" applyFill="1" applyBorder="1"/>
    <xf numFmtId="0" fontId="11" fillId="0" borderId="27" xfId="0" applyFont="1" applyBorder="1" applyAlignment="1">
      <alignment horizontal="left" vertical="center" wrapText="1"/>
    </xf>
    <xf numFmtId="164" fontId="33" fillId="0" borderId="24" xfId="1" applyFont="1" applyBorder="1" applyAlignment="1">
      <alignment vertical="center"/>
    </xf>
    <xf numFmtId="164" fontId="0" fillId="0" borderId="24" xfId="0" applyNumberFormat="1" applyBorder="1"/>
    <xf numFmtId="43" fontId="0" fillId="0" borderId="0" xfId="0" applyNumberFormat="1" applyBorder="1"/>
    <xf numFmtId="0" fontId="36" fillId="0" borderId="27" xfId="0" applyFont="1" applyBorder="1" applyAlignment="1">
      <alignment horizontal="left" vertical="center"/>
    </xf>
    <xf numFmtId="0" fontId="0" fillId="0" borderId="2" xfId="0" applyFill="1" applyBorder="1"/>
    <xf numFmtId="0" fontId="0" fillId="0" borderId="24" xfId="0" applyFill="1" applyBorder="1" applyAlignment="1">
      <alignment horizontal="center"/>
    </xf>
    <xf numFmtId="0" fontId="0" fillId="0" borderId="24" xfId="0" applyFill="1" applyBorder="1"/>
    <xf numFmtId="0" fontId="0" fillId="0" borderId="27" xfId="0" applyBorder="1"/>
    <xf numFmtId="0" fontId="0" fillId="0" borderId="2" xfId="0" applyFill="1" applyBorder="1" applyAlignment="1">
      <alignment horizontal="center"/>
    </xf>
    <xf numFmtId="0" fontId="6" fillId="0" borderId="2" xfId="0" applyFont="1" applyBorder="1"/>
    <xf numFmtId="0" fontId="4" fillId="0" borderId="24" xfId="0" applyFont="1" applyBorder="1" applyAlignment="1">
      <alignment horizontal="center"/>
    </xf>
    <xf numFmtId="0" fontId="6" fillId="0" borderId="24" xfId="0" applyFont="1" applyBorder="1"/>
    <xf numFmtId="0" fontId="6" fillId="0" borderId="0" xfId="0" applyFont="1" applyBorder="1"/>
    <xf numFmtId="0" fontId="3" fillId="0" borderId="23" xfId="0" applyFont="1" applyBorder="1" applyAlignment="1">
      <alignment horizontal="left"/>
    </xf>
    <xf numFmtId="0" fontId="3" fillId="0" borderId="23" xfId="0" applyFont="1" applyBorder="1" applyAlignment="1">
      <alignment horizontal="left" vertical="center"/>
    </xf>
    <xf numFmtId="0" fontId="21" fillId="0" borderId="28" xfId="0" applyFont="1" applyBorder="1" applyAlignment="1">
      <alignment horizontal="left" vertical="center" wrapText="1"/>
    </xf>
    <xf numFmtId="0" fontId="0" fillId="0" borderId="28" xfId="0" applyBorder="1"/>
    <xf numFmtId="43" fontId="0" fillId="0" borderId="24" xfId="0" applyNumberFormat="1" applyBorder="1"/>
    <xf numFmtId="43" fontId="0" fillId="0" borderId="25" xfId="0" applyNumberFormat="1" applyBorder="1"/>
    <xf numFmtId="43" fontId="0" fillId="0" borderId="26" xfId="0" applyNumberFormat="1" applyBorder="1"/>
    <xf numFmtId="0" fontId="3" fillId="0" borderId="16" xfId="0" applyFont="1" applyBorder="1" applyAlignment="1">
      <alignment horizontal="left"/>
    </xf>
    <xf numFmtId="0" fontId="21" fillId="0" borderId="27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left" vertical="center"/>
    </xf>
    <xf numFmtId="0" fontId="21" fillId="0" borderId="0" xfId="0" applyFont="1" applyBorder="1" applyAlignment="1">
      <alignment horizontal="left" vertical="center" wrapText="1"/>
    </xf>
    <xf numFmtId="0" fontId="39" fillId="0" borderId="0" xfId="0" applyFont="1"/>
    <xf numFmtId="0" fontId="13" fillId="0" borderId="0" xfId="0" applyFont="1" applyBorder="1" applyAlignment="1">
      <alignment horizontal="left"/>
    </xf>
    <xf numFmtId="164" fontId="0" fillId="0" borderId="9" xfId="0" applyNumberFormat="1" applyBorder="1"/>
    <xf numFmtId="164" fontId="0" fillId="0" borderId="25" xfId="0" applyNumberFormat="1" applyBorder="1"/>
    <xf numFmtId="0" fontId="11" fillId="0" borderId="28" xfId="0" applyFont="1" applyBorder="1" applyAlignment="1">
      <alignment horizontal="left" vertical="center" wrapText="1"/>
    </xf>
    <xf numFmtId="0" fontId="36" fillId="0" borderId="27" xfId="0" applyFont="1" applyBorder="1" applyAlignment="1">
      <alignment horizontal="left"/>
    </xf>
    <xf numFmtId="0" fontId="23" fillId="0" borderId="4" xfId="0" applyFont="1" applyBorder="1" applyAlignment="1">
      <alignment horizontal="center"/>
    </xf>
    <xf numFmtId="0" fontId="24" fillId="0" borderId="1" xfId="0" applyFont="1" applyBorder="1" applyAlignment="1">
      <alignment horizontal="left" vertical="top" wrapText="1"/>
    </xf>
    <xf numFmtId="164" fontId="25" fillId="0" borderId="1" xfId="0" applyNumberFormat="1" applyFont="1" applyBorder="1" applyAlignment="1">
      <alignment horizontal="center"/>
    </xf>
    <xf numFmtId="164" fontId="25" fillId="0" borderId="5" xfId="0" applyNumberFormat="1" applyFont="1" applyBorder="1" applyAlignment="1">
      <alignment horizontal="center"/>
    </xf>
    <xf numFmtId="43" fontId="24" fillId="0" borderId="0" xfId="0" applyNumberFormat="1" applyFont="1"/>
    <xf numFmtId="0" fontId="11" fillId="0" borderId="20" xfId="0" applyFont="1" applyBorder="1" applyAlignment="1">
      <alignment horizontal="center"/>
    </xf>
    <xf numFmtId="164" fontId="12" fillId="0" borderId="14" xfId="1" applyFont="1" applyFill="1" applyBorder="1" applyAlignment="1">
      <alignment horizontal="right" vertical="center"/>
    </xf>
    <xf numFmtId="164" fontId="0" fillId="0" borderId="26" xfId="0" applyNumberFormat="1" applyBorder="1"/>
    <xf numFmtId="0" fontId="16" fillId="0" borderId="0" xfId="0" applyFont="1" applyBorder="1"/>
    <xf numFmtId="0" fontId="1" fillId="0" borderId="0" xfId="0" applyFont="1" applyBorder="1"/>
    <xf numFmtId="164" fontId="33" fillId="0" borderId="1" xfId="1" applyFont="1" applyBorder="1" applyAlignment="1">
      <alignment vertical="center"/>
    </xf>
    <xf numFmtId="0" fontId="11" fillId="0" borderId="2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/>
    </xf>
    <xf numFmtId="0" fontId="36" fillId="0" borderId="0" xfId="0" applyFont="1" applyBorder="1" applyAlignment="1">
      <alignment horizontal="left" vertical="center"/>
    </xf>
    <xf numFmtId="0" fontId="12" fillId="3" borderId="6" xfId="0" applyFont="1" applyFill="1" applyBorder="1" applyAlignment="1">
      <alignment horizontal="center" vertical="center"/>
    </xf>
    <xf numFmtId="164" fontId="12" fillId="3" borderId="7" xfId="1" applyFont="1" applyFill="1" applyBorder="1" applyAlignment="1">
      <alignment horizontal="right" vertical="center"/>
    </xf>
    <xf numFmtId="0" fontId="12" fillId="3" borderId="14" xfId="0" applyFont="1" applyFill="1" applyBorder="1" applyAlignment="1">
      <alignment horizontal="center"/>
    </xf>
    <xf numFmtId="0" fontId="22" fillId="3" borderId="14" xfId="0" applyFont="1" applyFill="1" applyBorder="1" applyAlignment="1">
      <alignment horizontal="right" vertical="center"/>
    </xf>
    <xf numFmtId="0" fontId="12" fillId="3" borderId="17" xfId="0" applyFont="1" applyFill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9" fontId="5" fillId="0" borderId="24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vertical="center" wrapText="1"/>
    </xf>
    <xf numFmtId="0" fontId="34" fillId="0" borderId="0" xfId="0" applyFont="1" applyBorder="1" applyAlignment="1">
      <alignment horizontal="left" vertical="center"/>
    </xf>
    <xf numFmtId="0" fontId="12" fillId="0" borderId="16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36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 vertical="center"/>
    </xf>
    <xf numFmtId="0" fontId="36" fillId="0" borderId="3" xfId="0" applyFont="1" applyBorder="1" applyAlignment="1">
      <alignment horizontal="left" vertical="center"/>
    </xf>
    <xf numFmtId="0" fontId="12" fillId="0" borderId="13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6" fillId="3" borderId="14" xfId="0" applyFont="1" applyFill="1" applyBorder="1" applyAlignment="1">
      <alignment horizontal="right" vertical="center"/>
    </xf>
    <xf numFmtId="0" fontId="16" fillId="0" borderId="14" xfId="0" applyFont="1" applyBorder="1" applyAlignment="1">
      <alignment horizontal="right" vertical="center"/>
    </xf>
    <xf numFmtId="164" fontId="11" fillId="3" borderId="7" xfId="1" applyFont="1" applyFill="1" applyBorder="1" applyAlignment="1">
      <alignment horizontal="right" vertical="center"/>
    </xf>
    <xf numFmtId="164" fontId="22" fillId="3" borderId="7" xfId="1" applyFont="1" applyFill="1" applyBorder="1" applyAlignment="1">
      <alignment horizontal="right" vertical="center"/>
    </xf>
    <xf numFmtId="0" fontId="8" fillId="0" borderId="4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9" fillId="0" borderId="8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1" fillId="0" borderId="0" xfId="0" applyFont="1" applyBorder="1" applyAlignment="1">
      <alignment horizontal="right" vertical="center" wrapText="1"/>
    </xf>
    <xf numFmtId="0" fontId="11" fillId="0" borderId="9" xfId="0" applyFont="1" applyBorder="1" applyAlignment="1">
      <alignment horizontal="right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11" fillId="4" borderId="13" xfId="0" applyFont="1" applyFill="1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6" fillId="4" borderId="1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4" fillId="0" borderId="3" xfId="0" applyFont="1" applyBorder="1" applyAlignment="1">
      <alignment horizontal="left" vertical="center"/>
    </xf>
    <xf numFmtId="164" fontId="12" fillId="0" borderId="17" xfId="1" applyFont="1" applyFill="1" applyBorder="1" applyAlignment="1">
      <alignment horizontal="right" vertical="center"/>
    </xf>
    <xf numFmtId="0" fontId="35" fillId="0" borderId="13" xfId="0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164" fontId="20" fillId="0" borderId="13" xfId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/>
    </xf>
    <xf numFmtId="164" fontId="20" fillId="0" borderId="17" xfId="1" applyFont="1" applyBorder="1" applyAlignment="1">
      <alignment horizontal="center" vertical="center" wrapText="1"/>
    </xf>
    <xf numFmtId="164" fontId="20" fillId="0" borderId="5" xfId="1" applyFont="1" applyBorder="1" applyAlignment="1">
      <alignment horizontal="center" vertical="center" wrapText="1"/>
    </xf>
    <xf numFmtId="164" fontId="20" fillId="0" borderId="7" xfId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/>
    </xf>
    <xf numFmtId="0" fontId="21" fillId="0" borderId="3" xfId="0" applyFont="1" applyBorder="1" applyAlignment="1">
      <alignment horizontal="left" vertical="center" wrapText="1"/>
    </xf>
    <xf numFmtId="0" fontId="36" fillId="0" borderId="13" xfId="0" applyFont="1" applyBorder="1" applyAlignment="1">
      <alignment horizontal="left" vertical="center"/>
    </xf>
    <xf numFmtId="0" fontId="21" fillId="0" borderId="17" xfId="0" applyFont="1" applyBorder="1" applyAlignment="1">
      <alignment horizontal="left" vertical="center" wrapText="1"/>
    </xf>
    <xf numFmtId="0" fontId="11" fillId="0" borderId="17" xfId="0" applyFont="1" applyBorder="1" applyAlignment="1">
      <alignment horizontal="center" wrapText="1"/>
    </xf>
    <xf numFmtId="0" fontId="11" fillId="0" borderId="1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36" fillId="0" borderId="31" xfId="0" applyFon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95C65A"/>
      <color rgb="FF96D14F"/>
      <color rgb="FF1F8D31"/>
      <color rgb="FF7BB355"/>
      <color rgb="FF008000"/>
      <color rgb="FF33CC33"/>
      <color rgb="FFCCFFCC"/>
      <color rgb="FF000099"/>
      <color rgb="FFCC0099"/>
      <color rgb="FFD600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1710611</xdr:colOff>
      <xdr:row>4</xdr:row>
      <xdr:rowOff>157005</xdr:rowOff>
    </xdr:from>
    <xdr:to>
      <xdr:col>2</xdr:col>
      <xdr:colOff>4354284</xdr:colOff>
      <xdr:row>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E86A9F-AE21-4974-BFA8-D31113304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6198" y="1022031"/>
          <a:ext cx="2643673" cy="853811"/>
        </a:xfrm>
        <a:prstGeom prst="rect">
          <a:avLst/>
        </a:prstGeom>
        <a:ln w="3175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79"/>
  <sheetViews>
    <sheetView tabSelected="1" zoomScale="91" zoomScaleNormal="91" zoomScaleSheetLayoutView="98" workbookViewId="0">
      <selection activeCell="M10" sqref="M10"/>
    </sheetView>
  </sheetViews>
  <sheetFormatPr defaultColWidth="9" defaultRowHeight="15.75"/>
  <cols>
    <col min="1" max="1" width="6" customWidth="1"/>
    <col min="2" max="2" width="6.7109375" style="6" customWidth="1"/>
    <col min="3" max="3" width="68.28515625" customWidth="1"/>
    <col min="4" max="4" width="11.7109375" style="15" customWidth="1"/>
    <col min="5" max="5" width="20" style="15" customWidth="1"/>
    <col min="6" max="6" width="11.7109375" customWidth="1"/>
    <col min="7" max="7" width="14.5703125" hidden="1" customWidth="1"/>
    <col min="8" max="8" width="13.5703125" customWidth="1"/>
    <col min="9" max="9" width="12.7109375" bestFit="1" customWidth="1"/>
  </cols>
  <sheetData>
    <row r="2" spans="1:11" ht="16.5" thickBot="1"/>
    <row r="3" spans="1:11" s="10" customFormat="1" ht="20.25" customHeight="1">
      <c r="A3" s="48"/>
      <c r="B3" s="155" t="s">
        <v>0</v>
      </c>
      <c r="C3" s="156"/>
      <c r="D3" s="156"/>
      <c r="E3" s="157"/>
      <c r="F3" s="6"/>
    </row>
    <row r="4" spans="1:11" s="11" customFormat="1" ht="15">
      <c r="B4" s="158" t="s">
        <v>1</v>
      </c>
      <c r="C4" s="159"/>
      <c r="D4" s="159"/>
      <c r="E4" s="160"/>
    </row>
    <row r="5" spans="1:11" s="12" customFormat="1" ht="15.75" customHeight="1">
      <c r="B5" s="16"/>
      <c r="C5" s="49" t="s">
        <v>2</v>
      </c>
      <c r="D5" s="161"/>
      <c r="E5" s="162"/>
    </row>
    <row r="6" spans="1:11">
      <c r="B6" s="17"/>
      <c r="C6" s="61"/>
      <c r="D6" s="62"/>
      <c r="E6" s="18"/>
    </row>
    <row r="7" spans="1:11">
      <c r="B7" s="17"/>
      <c r="C7" s="63"/>
      <c r="D7" s="25"/>
      <c r="E7" s="19"/>
    </row>
    <row r="8" spans="1:11">
      <c r="B8" s="17"/>
      <c r="C8" s="125"/>
      <c r="D8" s="25"/>
      <c r="E8" s="19"/>
    </row>
    <row r="9" spans="1:11" ht="15.6" customHeight="1">
      <c r="B9" s="17"/>
      <c r="C9" s="125"/>
      <c r="D9" s="166" t="s">
        <v>91</v>
      </c>
      <c r="E9" s="167"/>
      <c r="H9" s="45"/>
    </row>
    <row r="10" spans="1:11" ht="15" customHeight="1">
      <c r="B10" s="17"/>
      <c r="C10" s="63" t="s">
        <v>3</v>
      </c>
      <c r="D10" s="64"/>
      <c r="E10" s="19"/>
      <c r="I10" s="111"/>
    </row>
    <row r="11" spans="1:11" ht="15" customHeight="1">
      <c r="B11" s="17"/>
      <c r="C11" s="125"/>
      <c r="D11" s="64"/>
      <c r="E11" s="19"/>
      <c r="I11" s="111"/>
    </row>
    <row r="12" spans="1:11" ht="15" customHeight="1">
      <c r="B12" s="17"/>
      <c r="C12" s="125"/>
      <c r="D12" s="64"/>
      <c r="E12" s="19"/>
      <c r="F12" s="111"/>
      <c r="G12" s="111"/>
      <c r="H12" s="111"/>
      <c r="I12" s="111"/>
      <c r="J12" s="111"/>
      <c r="K12" s="111"/>
    </row>
    <row r="13" spans="1:11" ht="15" customHeight="1">
      <c r="B13" s="17"/>
      <c r="C13" s="112"/>
      <c r="D13" s="64"/>
      <c r="E13" s="55"/>
      <c r="F13" s="111"/>
      <c r="G13" s="111"/>
      <c r="H13" s="111"/>
      <c r="I13" s="111"/>
      <c r="J13" s="111"/>
      <c r="K13" s="111"/>
    </row>
    <row r="14" spans="1:11" ht="32.25" customHeight="1">
      <c r="B14" s="163" t="s">
        <v>46</v>
      </c>
      <c r="C14" s="164"/>
      <c r="D14" s="164"/>
      <c r="E14" s="165"/>
      <c r="F14" s="111"/>
      <c r="G14" s="111"/>
      <c r="H14" s="111"/>
      <c r="I14" s="111"/>
      <c r="J14" s="111"/>
      <c r="K14" s="111"/>
    </row>
    <row r="15" spans="1:11" ht="16.5" thickBot="1">
      <c r="B15" s="20"/>
      <c r="C15" s="21"/>
      <c r="D15" s="22"/>
      <c r="E15" s="23"/>
      <c r="F15" s="111"/>
      <c r="G15" s="111"/>
      <c r="H15" s="111"/>
      <c r="I15" s="111"/>
      <c r="J15" s="111"/>
      <c r="K15" s="111"/>
    </row>
    <row r="16" spans="1:11" s="13" customFormat="1" ht="16.5" thickBot="1">
      <c r="B16" s="168" t="s">
        <v>4</v>
      </c>
      <c r="C16" s="169" t="s">
        <v>5</v>
      </c>
      <c r="D16" s="170" t="s">
        <v>6</v>
      </c>
      <c r="E16" s="171" t="s">
        <v>7</v>
      </c>
      <c r="F16" s="111"/>
      <c r="G16" s="111"/>
      <c r="H16" s="111"/>
      <c r="I16" s="111"/>
      <c r="J16" s="111"/>
      <c r="K16" s="111"/>
    </row>
    <row r="17" spans="2:11" s="13" customFormat="1" ht="16.5" customHeight="1">
      <c r="B17" s="149" t="s">
        <v>75</v>
      </c>
      <c r="C17" s="172"/>
      <c r="D17" s="143"/>
      <c r="E17" s="24"/>
      <c r="F17" s="111"/>
      <c r="G17" s="111"/>
      <c r="H17" s="111"/>
      <c r="I17" s="111"/>
      <c r="J17" s="111"/>
      <c r="K17" s="111"/>
    </row>
    <row r="18" spans="2:11" ht="20.25" customHeight="1">
      <c r="B18" s="141"/>
      <c r="C18" s="145"/>
      <c r="D18" s="142"/>
      <c r="E18" s="26"/>
      <c r="F18" s="111"/>
      <c r="G18" s="111"/>
      <c r="H18" s="111"/>
      <c r="I18" s="111"/>
      <c r="J18" s="111"/>
      <c r="K18" s="111"/>
    </row>
    <row r="19" spans="2:11" ht="21" customHeight="1" thickBot="1">
      <c r="B19" s="150"/>
      <c r="C19" s="173"/>
      <c r="D19" s="144"/>
      <c r="E19" s="174"/>
      <c r="F19" s="111"/>
      <c r="G19" s="111"/>
      <c r="H19" s="111"/>
      <c r="I19" s="111"/>
      <c r="J19" s="111"/>
      <c r="K19" s="111"/>
    </row>
    <row r="20" spans="2:11" ht="14.25" customHeight="1">
      <c r="B20" s="175"/>
      <c r="C20" s="176"/>
      <c r="D20" s="143"/>
      <c r="E20" s="24"/>
      <c r="F20" s="111"/>
      <c r="G20" s="111"/>
      <c r="H20" s="111"/>
      <c r="I20" s="111"/>
      <c r="J20" s="111"/>
      <c r="K20" s="111"/>
    </row>
    <row r="21" spans="2:11" ht="21.75" customHeight="1">
      <c r="B21" s="141" t="s">
        <v>76</v>
      </c>
      <c r="C21" s="107"/>
      <c r="D21" s="142"/>
      <c r="E21" s="26"/>
      <c r="F21" s="111"/>
      <c r="G21" s="111"/>
      <c r="H21" s="111"/>
      <c r="I21" s="111"/>
      <c r="J21" s="111"/>
      <c r="K21" s="111"/>
    </row>
    <row r="22" spans="2:11" ht="16.5" customHeight="1">
      <c r="B22" s="141"/>
      <c r="C22" s="145"/>
      <c r="D22" s="142"/>
      <c r="E22" s="26"/>
      <c r="F22" s="111"/>
      <c r="G22" s="111"/>
      <c r="H22" s="111"/>
      <c r="I22" s="111"/>
      <c r="J22" s="111"/>
      <c r="K22" s="111"/>
    </row>
    <row r="23" spans="2:11" ht="18" customHeight="1" thickBot="1">
      <c r="B23" s="150"/>
      <c r="C23" s="173"/>
      <c r="D23" s="144"/>
      <c r="E23" s="174"/>
      <c r="F23" s="111"/>
      <c r="G23" s="111"/>
      <c r="H23" s="111"/>
      <c r="I23" s="111"/>
      <c r="J23" s="111"/>
      <c r="K23" s="111"/>
    </row>
    <row r="24" spans="2:11" ht="15" customHeight="1">
      <c r="B24" s="149"/>
      <c r="C24" s="176"/>
      <c r="D24" s="143"/>
      <c r="E24" s="177"/>
      <c r="F24" s="111"/>
      <c r="G24" s="111"/>
      <c r="H24" s="111"/>
      <c r="I24" s="111"/>
      <c r="J24" s="111"/>
      <c r="K24" s="111"/>
    </row>
    <row r="25" spans="2:11" ht="17.25" customHeight="1">
      <c r="B25" s="141" t="s">
        <v>77</v>
      </c>
      <c r="C25" s="107"/>
      <c r="D25" s="142"/>
      <c r="E25" s="53"/>
      <c r="F25" s="111"/>
      <c r="G25" s="111"/>
      <c r="H25" s="111"/>
      <c r="I25" s="111"/>
      <c r="J25" s="111"/>
      <c r="K25" s="111"/>
    </row>
    <row r="26" spans="2:11" ht="17.25" customHeight="1">
      <c r="B26" s="141"/>
      <c r="C26" s="116"/>
      <c r="D26" s="142"/>
      <c r="E26" s="53"/>
      <c r="F26" s="111"/>
      <c r="G26" s="111"/>
      <c r="H26" s="111"/>
      <c r="I26" s="111"/>
      <c r="J26" s="111"/>
      <c r="K26" s="111"/>
    </row>
    <row r="27" spans="2:11" ht="30.75" customHeight="1" thickBot="1">
      <c r="B27" s="150"/>
      <c r="C27" s="178"/>
      <c r="D27" s="144"/>
      <c r="E27" s="179"/>
      <c r="F27" s="111"/>
      <c r="G27" s="111"/>
      <c r="H27" s="111"/>
      <c r="I27" s="111"/>
      <c r="J27" s="111"/>
      <c r="K27" s="111"/>
    </row>
    <row r="28" spans="2:11" ht="18.75" customHeight="1">
      <c r="B28" s="149"/>
      <c r="C28" s="176"/>
      <c r="D28" s="143"/>
      <c r="E28" s="180"/>
      <c r="F28" s="111"/>
      <c r="G28" s="111"/>
      <c r="H28" s="111"/>
      <c r="I28" s="111"/>
      <c r="J28" s="111"/>
      <c r="K28" s="111"/>
    </row>
    <row r="29" spans="2:11" ht="18.75" customHeight="1">
      <c r="B29" s="141" t="s">
        <v>78</v>
      </c>
      <c r="C29" s="107"/>
      <c r="D29" s="142"/>
      <c r="E29" s="54"/>
      <c r="F29" s="111"/>
      <c r="G29" s="111"/>
      <c r="H29" s="111"/>
      <c r="I29" s="111"/>
      <c r="J29" s="111"/>
      <c r="K29" s="111"/>
    </row>
    <row r="30" spans="2:11" ht="21" customHeight="1">
      <c r="B30" s="141"/>
      <c r="C30" s="130"/>
      <c r="D30" s="142"/>
      <c r="E30" s="54"/>
      <c r="F30" s="111"/>
      <c r="G30" s="111"/>
      <c r="H30" s="111"/>
      <c r="I30" s="111"/>
      <c r="J30" s="111"/>
      <c r="K30" s="111"/>
    </row>
    <row r="31" spans="2:11" ht="19.5" customHeight="1" thickBot="1">
      <c r="B31" s="150"/>
      <c r="C31" s="178"/>
      <c r="D31" s="144"/>
      <c r="E31" s="181"/>
      <c r="F31" s="111"/>
      <c r="G31" s="111"/>
      <c r="H31" s="111"/>
      <c r="I31" s="111"/>
      <c r="J31" s="111"/>
      <c r="K31" s="111"/>
    </row>
    <row r="32" spans="2:11" ht="18.75" customHeight="1">
      <c r="B32" s="149"/>
      <c r="C32" s="182"/>
      <c r="D32" s="143"/>
      <c r="E32" s="180"/>
      <c r="F32" s="111"/>
      <c r="G32" s="111"/>
      <c r="H32" s="111"/>
      <c r="I32" s="111"/>
      <c r="J32" s="111"/>
      <c r="K32" s="111"/>
    </row>
    <row r="33" spans="2:11" ht="18.75" customHeight="1">
      <c r="B33" s="141" t="s">
        <v>80</v>
      </c>
      <c r="C33" s="146"/>
      <c r="D33" s="142"/>
      <c r="E33" s="54"/>
      <c r="F33" s="111"/>
      <c r="G33" s="111"/>
      <c r="H33" s="111"/>
      <c r="I33" s="111"/>
      <c r="J33" s="111"/>
      <c r="K33" s="111"/>
    </row>
    <row r="34" spans="2:11" ht="18" customHeight="1">
      <c r="B34" s="141"/>
      <c r="C34" s="130"/>
      <c r="D34" s="142"/>
      <c r="E34" s="53"/>
      <c r="F34" s="111"/>
      <c r="G34" s="111"/>
      <c r="H34" s="111"/>
      <c r="I34" s="111"/>
      <c r="J34" s="111"/>
      <c r="K34" s="111"/>
    </row>
    <row r="35" spans="2:11" ht="21" customHeight="1">
      <c r="B35" s="141"/>
      <c r="C35" s="130"/>
      <c r="D35" s="142"/>
      <c r="E35" s="53"/>
      <c r="F35" s="111"/>
      <c r="G35" s="111"/>
      <c r="H35" s="111"/>
      <c r="I35" s="111"/>
      <c r="J35" s="111"/>
      <c r="K35" s="111"/>
    </row>
    <row r="36" spans="2:11" ht="34.5" customHeight="1" thickBot="1">
      <c r="B36" s="150"/>
      <c r="C36" s="183"/>
      <c r="D36" s="144"/>
      <c r="E36" s="179"/>
      <c r="F36" s="111"/>
      <c r="G36" s="111"/>
      <c r="H36" s="111"/>
      <c r="I36" s="111"/>
      <c r="J36" s="111"/>
      <c r="K36" s="111"/>
    </row>
    <row r="37" spans="2:11" ht="21" customHeight="1">
      <c r="B37" s="149"/>
      <c r="C37" s="184"/>
      <c r="D37" s="143"/>
      <c r="E37" s="177"/>
      <c r="F37" s="111"/>
      <c r="G37" s="111"/>
      <c r="H37" s="111"/>
      <c r="I37" s="111"/>
      <c r="J37" s="111"/>
      <c r="K37" s="111"/>
    </row>
    <row r="38" spans="2:11" ht="17.25" customHeight="1">
      <c r="B38" s="141" t="s">
        <v>82</v>
      </c>
      <c r="C38" s="146"/>
      <c r="D38" s="142"/>
      <c r="E38" s="53"/>
      <c r="F38" s="111"/>
      <c r="G38" s="111"/>
      <c r="H38" s="111"/>
      <c r="I38" s="111"/>
      <c r="J38" s="111"/>
      <c r="K38" s="111"/>
    </row>
    <row r="39" spans="2:11" ht="17.25" customHeight="1">
      <c r="B39" s="141"/>
      <c r="C39" s="130"/>
      <c r="D39" s="142"/>
      <c r="E39" s="53"/>
      <c r="F39" s="111"/>
      <c r="G39" s="111"/>
      <c r="H39" s="111"/>
      <c r="I39" s="111"/>
      <c r="J39" s="111"/>
      <c r="K39" s="111"/>
    </row>
    <row r="40" spans="2:11" ht="21" customHeight="1" thickBot="1">
      <c r="B40" s="150"/>
      <c r="C40" s="185"/>
      <c r="D40" s="186"/>
      <c r="E40" s="186"/>
      <c r="F40" s="111"/>
      <c r="G40" s="111"/>
      <c r="H40" s="111"/>
      <c r="I40" s="111"/>
      <c r="J40" s="111"/>
      <c r="K40" s="111"/>
    </row>
    <row r="41" spans="2:11" ht="12" customHeight="1">
      <c r="B41" s="149"/>
      <c r="C41" s="187"/>
      <c r="D41" s="143"/>
      <c r="E41" s="177"/>
      <c r="F41" s="111"/>
      <c r="G41" s="111"/>
      <c r="H41" s="111"/>
      <c r="I41" s="111"/>
      <c r="J41" s="111"/>
      <c r="K41" s="111"/>
    </row>
    <row r="42" spans="2:11" ht="18.75" customHeight="1">
      <c r="B42" s="141" t="s">
        <v>14</v>
      </c>
      <c r="C42" s="147"/>
      <c r="D42" s="142"/>
      <c r="E42" s="53"/>
      <c r="F42" s="111"/>
      <c r="G42" s="111"/>
      <c r="H42" s="111"/>
      <c r="I42" s="111"/>
      <c r="J42" s="111"/>
      <c r="K42" s="111"/>
    </row>
    <row r="43" spans="2:11" ht="18.75" customHeight="1">
      <c r="B43" s="141"/>
      <c r="C43" s="130"/>
      <c r="D43" s="142"/>
      <c r="E43" s="53"/>
      <c r="F43" s="111"/>
      <c r="G43" s="111"/>
      <c r="H43" s="111"/>
      <c r="I43" s="111"/>
      <c r="J43" s="111"/>
      <c r="K43" s="111"/>
    </row>
    <row r="44" spans="2:11" ht="18.75" customHeight="1">
      <c r="B44" s="141"/>
      <c r="C44" s="130"/>
      <c r="D44" s="142"/>
      <c r="E44" s="53"/>
      <c r="F44" s="111"/>
      <c r="G44" s="111"/>
      <c r="H44" s="111"/>
      <c r="I44" s="111"/>
      <c r="J44" s="111"/>
      <c r="K44" s="111"/>
    </row>
    <row r="45" spans="2:11" ht="18" customHeight="1" thickBot="1">
      <c r="B45" s="150"/>
      <c r="C45" s="185"/>
      <c r="D45" s="144"/>
      <c r="E45" s="179"/>
      <c r="F45" s="111"/>
      <c r="G45" s="111"/>
      <c r="H45" s="111"/>
      <c r="I45" s="111"/>
      <c r="J45" s="111"/>
      <c r="K45" s="111"/>
    </row>
    <row r="46" spans="2:11" ht="12.75" customHeight="1">
      <c r="B46" s="149"/>
      <c r="C46" s="188"/>
      <c r="D46" s="143"/>
      <c r="E46" s="177"/>
      <c r="F46" s="111"/>
      <c r="G46" s="111"/>
      <c r="H46" s="111"/>
      <c r="I46" s="111"/>
      <c r="J46" s="111"/>
      <c r="K46" s="111"/>
    </row>
    <row r="47" spans="2:11" ht="18.75" customHeight="1">
      <c r="B47" s="141" t="s">
        <v>15</v>
      </c>
      <c r="C47" s="109"/>
      <c r="D47" s="142"/>
      <c r="E47" s="53"/>
      <c r="F47" s="111"/>
      <c r="G47" s="111"/>
      <c r="H47" s="111"/>
      <c r="I47" s="111"/>
      <c r="J47" s="111"/>
      <c r="K47" s="111"/>
    </row>
    <row r="48" spans="2:11" ht="18.75" customHeight="1">
      <c r="B48" s="141"/>
      <c r="C48" s="130"/>
      <c r="D48" s="142"/>
      <c r="E48" s="53"/>
      <c r="F48" s="111"/>
      <c r="G48" s="111"/>
      <c r="H48" s="111"/>
      <c r="I48" s="111"/>
      <c r="J48" s="111"/>
      <c r="K48" s="111"/>
    </row>
    <row r="49" spans="1:13" ht="20.25" customHeight="1">
      <c r="B49" s="141"/>
      <c r="C49" s="90"/>
      <c r="D49" s="142"/>
      <c r="E49" s="53"/>
      <c r="F49" s="111"/>
      <c r="G49" s="111"/>
      <c r="H49" s="111"/>
      <c r="I49" s="111"/>
      <c r="J49" s="111"/>
      <c r="K49" s="111"/>
    </row>
    <row r="50" spans="1:13" ht="18.75" customHeight="1" thickBot="1">
      <c r="B50" s="150"/>
      <c r="C50" s="189"/>
      <c r="D50" s="144"/>
      <c r="E50" s="179"/>
      <c r="F50" s="111"/>
      <c r="G50" s="111"/>
      <c r="H50" s="111"/>
      <c r="I50" s="111"/>
      <c r="J50" s="111"/>
      <c r="K50" s="111"/>
    </row>
    <row r="51" spans="1:13" ht="16.5" customHeight="1">
      <c r="B51" s="141"/>
      <c r="C51" s="110"/>
      <c r="D51" s="142"/>
      <c r="E51" s="53"/>
      <c r="F51" s="111"/>
      <c r="G51" s="111"/>
      <c r="H51" s="111"/>
      <c r="I51" s="111"/>
      <c r="J51" s="111"/>
      <c r="K51" s="111"/>
    </row>
    <row r="52" spans="1:13" ht="16.5" customHeight="1">
      <c r="B52" s="141" t="s">
        <v>16</v>
      </c>
      <c r="C52" s="110"/>
      <c r="D52" s="142"/>
      <c r="E52" s="53"/>
      <c r="F52" s="111"/>
      <c r="G52" s="111"/>
      <c r="H52" s="111"/>
      <c r="I52" s="111"/>
      <c r="J52" s="111"/>
      <c r="K52" s="111"/>
    </row>
    <row r="53" spans="1:13" ht="16.5" customHeight="1">
      <c r="B53" s="141"/>
      <c r="C53" s="110"/>
      <c r="D53" s="142"/>
      <c r="E53" s="53"/>
      <c r="F53" s="111"/>
      <c r="G53" s="111"/>
      <c r="H53" s="111"/>
      <c r="I53" s="111"/>
      <c r="J53" s="111"/>
      <c r="K53" s="111"/>
    </row>
    <row r="54" spans="1:13" ht="18.75" customHeight="1" thickBot="1">
      <c r="B54" s="150"/>
      <c r="C54" s="148"/>
      <c r="D54" s="144"/>
      <c r="E54" s="53"/>
      <c r="F54" s="27"/>
      <c r="G54" s="28"/>
      <c r="H54" s="29"/>
    </row>
    <row r="55" spans="1:13" ht="16.5" thickBot="1">
      <c r="A55" s="14"/>
      <c r="B55" s="136"/>
      <c r="C55" s="152" t="s">
        <v>49</v>
      </c>
      <c r="D55" s="122"/>
      <c r="E55" s="123"/>
      <c r="F55" s="27"/>
      <c r="H55" s="28"/>
    </row>
    <row r="56" spans="1:13" ht="16.5" thickBot="1">
      <c r="A56" s="14"/>
      <c r="B56" s="135"/>
      <c r="C56" s="30" t="s">
        <v>20</v>
      </c>
      <c r="D56" s="31"/>
      <c r="E56" s="32">
        <v>5000</v>
      </c>
      <c r="F56" s="27"/>
      <c r="H56" s="121"/>
      <c r="M56" s="58" t="s">
        <v>43</v>
      </c>
    </row>
    <row r="57" spans="1:13" ht="16.5" thickBot="1">
      <c r="A57" s="14"/>
      <c r="B57" s="131"/>
      <c r="C57" s="151" t="s">
        <v>50</v>
      </c>
      <c r="D57" s="133"/>
      <c r="E57" s="132"/>
      <c r="F57" s="27"/>
      <c r="H57" s="121"/>
      <c r="M57" s="58"/>
    </row>
    <row r="58" spans="1:13" ht="16.5" thickBot="1">
      <c r="A58" s="14"/>
      <c r="B58" s="131"/>
      <c r="C58" s="151" t="s">
        <v>51</v>
      </c>
      <c r="D58" s="133"/>
      <c r="E58" s="153"/>
      <c r="F58" s="27"/>
      <c r="H58" s="121"/>
      <c r="M58" s="58"/>
    </row>
    <row r="59" spans="1:13" ht="16.5" thickBot="1">
      <c r="A59" s="14"/>
      <c r="B59" s="131"/>
      <c r="C59" s="134" t="s">
        <v>52</v>
      </c>
      <c r="D59" s="133"/>
      <c r="E59" s="154"/>
      <c r="F59" s="27"/>
      <c r="H59" s="121"/>
      <c r="M59" s="58"/>
    </row>
    <row r="60" spans="1:13" ht="18.75">
      <c r="A60" s="14"/>
      <c r="B60" s="117"/>
      <c r="C60" s="118"/>
      <c r="D60" s="119"/>
      <c r="E60" s="120"/>
      <c r="F60" s="33"/>
    </row>
    <row r="61" spans="1:13">
      <c r="A61" s="14"/>
      <c r="B61" s="34"/>
      <c r="C61" s="65" t="s">
        <v>21</v>
      </c>
      <c r="D61" s="66"/>
      <c r="E61" s="35"/>
    </row>
    <row r="62" spans="1:13">
      <c r="A62" s="14"/>
      <c r="B62" s="36" t="s">
        <v>8</v>
      </c>
      <c r="C62" s="67" t="s">
        <v>22</v>
      </c>
      <c r="D62" s="60"/>
      <c r="E62" s="37"/>
      <c r="J62" s="58" t="s">
        <v>43</v>
      </c>
    </row>
    <row r="63" spans="1:13">
      <c r="B63" s="36" t="s">
        <v>9</v>
      </c>
      <c r="C63" s="67" t="s">
        <v>23</v>
      </c>
      <c r="D63" s="68"/>
      <c r="E63" s="38"/>
    </row>
    <row r="64" spans="1:13" ht="16.5" thickBot="1">
      <c r="B64" s="36" t="s">
        <v>10</v>
      </c>
      <c r="C64" s="67" t="s">
        <v>24</v>
      </c>
      <c r="D64" s="68"/>
      <c r="E64" s="38"/>
    </row>
    <row r="65" spans="2:8" ht="16.5" thickBot="1">
      <c r="B65" s="50" t="s">
        <v>11</v>
      </c>
      <c r="C65" s="51" t="s">
        <v>42</v>
      </c>
      <c r="D65" s="57"/>
      <c r="E65" s="56"/>
    </row>
    <row r="66" spans="2:8">
      <c r="B66" s="36"/>
      <c r="C66" s="69" t="s">
        <v>44</v>
      </c>
      <c r="D66" s="39"/>
      <c r="E66" s="38"/>
      <c r="H66" s="45"/>
    </row>
    <row r="67" spans="2:8">
      <c r="B67" s="36"/>
      <c r="C67" s="70" t="s">
        <v>45</v>
      </c>
      <c r="D67" s="68"/>
      <c r="E67" s="38"/>
    </row>
    <row r="68" spans="2:8">
      <c r="B68" s="36"/>
      <c r="C68" s="69" t="s">
        <v>25</v>
      </c>
      <c r="D68" s="68"/>
      <c r="E68" s="38"/>
    </row>
    <row r="69" spans="2:8">
      <c r="B69" s="36" t="s">
        <v>12</v>
      </c>
      <c r="C69" s="71" t="s">
        <v>26</v>
      </c>
      <c r="D69" s="68"/>
      <c r="E69" s="38"/>
    </row>
    <row r="70" spans="2:8">
      <c r="B70" s="36" t="s">
        <v>13</v>
      </c>
      <c r="C70" s="72" t="s">
        <v>27</v>
      </c>
      <c r="D70" s="68"/>
      <c r="E70" s="38"/>
    </row>
    <row r="71" spans="2:8" ht="31.5">
      <c r="B71" s="40" t="s">
        <v>14</v>
      </c>
      <c r="C71" s="73" t="s">
        <v>28</v>
      </c>
      <c r="D71" s="68"/>
      <c r="E71" s="38"/>
    </row>
    <row r="72" spans="2:8">
      <c r="B72" s="40" t="s">
        <v>15</v>
      </c>
      <c r="C72" s="74" t="s">
        <v>29</v>
      </c>
      <c r="D72" s="68"/>
      <c r="E72" s="38"/>
    </row>
    <row r="73" spans="2:8">
      <c r="B73" s="40" t="s">
        <v>16</v>
      </c>
      <c r="C73" s="74" t="s">
        <v>30</v>
      </c>
      <c r="D73" s="68"/>
      <c r="E73" s="38"/>
    </row>
    <row r="74" spans="2:8">
      <c r="B74" s="40" t="s">
        <v>17</v>
      </c>
      <c r="C74" s="74" t="s">
        <v>31</v>
      </c>
      <c r="D74" s="68"/>
      <c r="E74" s="38"/>
    </row>
    <row r="75" spans="2:8">
      <c r="B75" s="40" t="s">
        <v>18</v>
      </c>
      <c r="C75" s="74" t="s">
        <v>32</v>
      </c>
      <c r="D75" s="68"/>
      <c r="E75" s="38"/>
    </row>
    <row r="76" spans="2:8">
      <c r="B76" s="36" t="s">
        <v>19</v>
      </c>
      <c r="C76" s="74" t="s">
        <v>33</v>
      </c>
      <c r="D76" s="60"/>
      <c r="E76" s="37"/>
    </row>
    <row r="77" spans="2:8">
      <c r="B77" s="36"/>
      <c r="C77" s="59" t="s">
        <v>34</v>
      </c>
      <c r="D77" s="60"/>
      <c r="E77" s="37"/>
    </row>
    <row r="78" spans="2:8">
      <c r="B78" s="36"/>
      <c r="C78" s="59" t="s">
        <v>35</v>
      </c>
      <c r="D78" s="60"/>
      <c r="E78" s="37"/>
    </row>
    <row r="79" spans="2:8" ht="16.5" thickBot="1">
      <c r="B79" s="41"/>
      <c r="C79" s="4"/>
      <c r="D79" s="42"/>
      <c r="E79" s="43"/>
    </row>
  </sheetData>
  <mergeCells count="5">
    <mergeCell ref="B3:E3"/>
    <mergeCell ref="B4:E4"/>
    <mergeCell ref="D5:E5"/>
    <mergeCell ref="B14:E14"/>
    <mergeCell ref="D9:E9"/>
  </mergeCells>
  <phoneticPr fontId="37" type="noConversion"/>
  <pageMargins left="1.299212598425197" right="0" top="0.74803149606299213" bottom="0" header="0.31496062992125984" footer="0.31496062992125984"/>
  <pageSetup scale="72" fitToHeight="0" orientation="portrait" r:id="rId1"/>
  <rowBreaks count="1" manualBreakCount="1">
    <brk id="59" min="1" max="4" man="1"/>
  </rowBreaks>
  <colBreaks count="1" manualBreakCount="1">
    <brk id="6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1"/>
  <sheetViews>
    <sheetView view="pageBreakPreview" zoomScale="77" zoomScaleNormal="87" zoomScaleSheetLayoutView="77" workbookViewId="0">
      <pane ySplit="1" topLeftCell="A28" activePane="bottomLeft" state="frozen"/>
      <selection pane="bottomLeft" activeCell="F49" sqref="F49"/>
    </sheetView>
  </sheetViews>
  <sheetFormatPr defaultColWidth="9" defaultRowHeight="15"/>
  <cols>
    <col min="2" max="2" width="59.42578125" customWidth="1"/>
    <col min="3" max="3" width="24.28515625" customWidth="1"/>
    <col min="6" max="6" width="11.85546875" customWidth="1"/>
    <col min="8" max="8" width="9.85546875" customWidth="1"/>
    <col min="9" max="9" width="15.140625" customWidth="1"/>
    <col min="10" max="10" width="16.42578125" customWidth="1"/>
    <col min="11" max="11" width="9" customWidth="1"/>
    <col min="12" max="12" width="14.42578125" customWidth="1"/>
    <col min="13" max="13" width="14.5703125" customWidth="1"/>
  </cols>
  <sheetData>
    <row r="1" spans="1:13" ht="45">
      <c r="A1" s="2"/>
      <c r="B1" s="137" t="s">
        <v>53</v>
      </c>
      <c r="C1" s="75"/>
      <c r="D1" s="75" t="s">
        <v>36</v>
      </c>
      <c r="E1" s="75" t="s">
        <v>37</v>
      </c>
      <c r="F1" s="75" t="s">
        <v>38</v>
      </c>
      <c r="G1" s="75" t="s">
        <v>39</v>
      </c>
      <c r="H1" s="76" t="s">
        <v>40</v>
      </c>
      <c r="I1" s="75" t="s">
        <v>41</v>
      </c>
      <c r="J1" s="75" t="s">
        <v>7</v>
      </c>
      <c r="K1" s="77"/>
      <c r="L1" s="138">
        <v>0.05</v>
      </c>
      <c r="M1" s="78"/>
    </row>
    <row r="2" spans="1:13" ht="28.5" customHeight="1">
      <c r="A2" s="3"/>
      <c r="B2" s="129" t="s">
        <v>83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8"/>
    </row>
    <row r="3" spans="1:13" ht="28.5" customHeight="1">
      <c r="A3" s="45"/>
      <c r="B3" s="116" t="s">
        <v>54</v>
      </c>
      <c r="C3" s="45"/>
      <c r="D3" s="45">
        <v>14.7</v>
      </c>
      <c r="E3" s="45">
        <v>2</v>
      </c>
      <c r="F3" s="45">
        <f>D3*E3</f>
        <v>29.4</v>
      </c>
      <c r="G3" s="7">
        <v>1</v>
      </c>
      <c r="H3" s="46">
        <f>F3*G3</f>
        <v>29.4</v>
      </c>
      <c r="I3" s="46">
        <v>1600</v>
      </c>
      <c r="J3" s="45">
        <f>H3*I3</f>
        <v>47040</v>
      </c>
      <c r="K3" s="45"/>
      <c r="L3" s="45"/>
      <c r="M3" s="79"/>
    </row>
    <row r="4" spans="1:13" ht="28.5" customHeight="1" thickBot="1">
      <c r="A4" s="45"/>
      <c r="B4" s="140" t="s">
        <v>55</v>
      </c>
      <c r="C4" s="45"/>
      <c r="D4" s="45"/>
      <c r="E4" s="45"/>
      <c r="F4" s="45"/>
      <c r="G4" s="45"/>
      <c r="H4" s="45"/>
      <c r="I4" s="45"/>
      <c r="J4" s="45"/>
      <c r="K4" s="45"/>
      <c r="L4" s="45"/>
      <c r="M4" s="79"/>
    </row>
    <row r="5" spans="1:13" ht="28.5" customHeight="1">
      <c r="A5" s="45"/>
      <c r="B5" s="139"/>
      <c r="C5" s="45"/>
      <c r="D5" s="45"/>
      <c r="E5" s="45"/>
      <c r="F5" s="45"/>
      <c r="G5" s="1"/>
      <c r="H5" s="45"/>
      <c r="I5" s="45"/>
      <c r="J5" s="127">
        <f>SUM(J3:J4)</f>
        <v>47040</v>
      </c>
      <c r="K5" s="45"/>
      <c r="L5" s="113">
        <f>J5*5%</f>
        <v>2352</v>
      </c>
      <c r="M5" s="85">
        <f>J5+L5</f>
        <v>49392</v>
      </c>
    </row>
    <row r="6" spans="1:13" ht="18.75" customHeight="1">
      <c r="A6" s="45"/>
      <c r="B6" s="128"/>
      <c r="C6" s="3"/>
      <c r="D6" s="3"/>
      <c r="E6" s="3"/>
      <c r="F6" s="3"/>
      <c r="G6" s="3"/>
      <c r="H6" s="3"/>
      <c r="I6" s="3"/>
      <c r="J6" s="84"/>
      <c r="K6" s="3"/>
      <c r="L6" s="82"/>
      <c r="M6" s="82"/>
    </row>
    <row r="7" spans="1:13" ht="28.5" customHeight="1">
      <c r="A7" s="45"/>
      <c r="B7" s="100" t="s">
        <v>56</v>
      </c>
      <c r="C7" s="77"/>
      <c r="D7" s="77"/>
      <c r="E7" s="77"/>
      <c r="F7" s="77"/>
      <c r="G7" s="77"/>
      <c r="H7" s="77"/>
      <c r="I7" s="77"/>
      <c r="J7" s="77"/>
      <c r="K7" s="77"/>
      <c r="L7" s="77"/>
      <c r="M7" s="78"/>
    </row>
    <row r="8" spans="1:13" ht="28.5" customHeight="1" thickBot="1">
      <c r="A8" s="45"/>
      <c r="B8" s="116" t="s">
        <v>58</v>
      </c>
      <c r="C8" s="45"/>
      <c r="D8" s="45">
        <v>6.2</v>
      </c>
      <c r="E8" s="45">
        <v>0.7</v>
      </c>
      <c r="F8" s="45">
        <f>D8*E8</f>
        <v>4.34</v>
      </c>
      <c r="G8" s="7">
        <v>1</v>
      </c>
      <c r="H8" s="46">
        <f>F8*G8</f>
        <v>4.34</v>
      </c>
      <c r="I8" s="46">
        <v>650</v>
      </c>
      <c r="J8" s="45">
        <f>H8*I8</f>
        <v>2821</v>
      </c>
      <c r="K8" s="45"/>
      <c r="L8" s="45"/>
      <c r="M8" s="79"/>
    </row>
    <row r="9" spans="1:13" ht="28.5" customHeight="1">
      <c r="A9" s="45"/>
      <c r="B9" s="140" t="s">
        <v>84</v>
      </c>
      <c r="C9" s="3"/>
      <c r="D9" s="3"/>
      <c r="E9" s="3"/>
      <c r="F9" s="3"/>
      <c r="G9" s="3"/>
      <c r="H9" s="3"/>
      <c r="I9" s="3"/>
      <c r="J9" s="84">
        <f>SUM(J8:J8)</f>
        <v>2821</v>
      </c>
      <c r="K9" s="3"/>
      <c r="L9" s="113">
        <f>J9*5%</f>
        <v>141.05000000000001</v>
      </c>
      <c r="M9" s="85">
        <f>J9+L9</f>
        <v>2962.05</v>
      </c>
    </row>
    <row r="10" spans="1:13" ht="28.5" customHeight="1">
      <c r="A10" s="45"/>
      <c r="B10" s="100" t="s">
        <v>57</v>
      </c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8"/>
    </row>
    <row r="11" spans="1:13" ht="28.5" customHeight="1">
      <c r="A11" s="45"/>
      <c r="B11" s="116" t="s">
        <v>85</v>
      </c>
      <c r="C11" s="45"/>
      <c r="D11" s="45">
        <v>9.9</v>
      </c>
      <c r="E11" s="45">
        <v>2</v>
      </c>
      <c r="F11" s="45">
        <f>D11*E11</f>
        <v>19.8</v>
      </c>
      <c r="G11" s="7">
        <v>1</v>
      </c>
      <c r="H11" s="46">
        <f>F11*G11</f>
        <v>19.8</v>
      </c>
      <c r="I11" s="46">
        <v>1450</v>
      </c>
      <c r="J11" s="45">
        <f>H11*I11</f>
        <v>28710</v>
      </c>
      <c r="K11" s="45"/>
      <c r="L11" s="45"/>
      <c r="M11" s="79"/>
    </row>
    <row r="12" spans="1:13" ht="28.5" customHeight="1">
      <c r="A12" s="45"/>
      <c r="B12" s="130" t="s">
        <v>48</v>
      </c>
      <c r="C12" s="45"/>
      <c r="D12" s="45"/>
      <c r="E12" s="45"/>
      <c r="F12" s="45"/>
      <c r="G12" s="44">
        <v>10</v>
      </c>
      <c r="H12" s="46"/>
      <c r="I12" s="46">
        <v>250</v>
      </c>
      <c r="J12" s="45">
        <f>G12*I12</f>
        <v>2500</v>
      </c>
      <c r="K12" s="45"/>
      <c r="L12" s="45"/>
      <c r="M12" s="79"/>
    </row>
    <row r="13" spans="1:13" ht="28.5" customHeight="1" thickBot="1">
      <c r="A13" s="45"/>
      <c r="B13" s="130" t="s">
        <v>71</v>
      </c>
      <c r="C13" s="45"/>
      <c r="D13" s="45"/>
      <c r="E13" s="45"/>
      <c r="F13" s="45"/>
      <c r="G13" s="44">
        <v>1</v>
      </c>
      <c r="H13" s="46"/>
      <c r="I13" s="46">
        <v>3200</v>
      </c>
      <c r="J13" s="45">
        <f>G13*I13</f>
        <v>3200</v>
      </c>
      <c r="K13" s="45"/>
      <c r="L13" s="45"/>
      <c r="M13" s="79"/>
    </row>
    <row r="14" spans="1:13" ht="33.75" customHeight="1">
      <c r="A14" s="45"/>
      <c r="B14" s="86" t="s">
        <v>59</v>
      </c>
      <c r="C14" s="45"/>
      <c r="D14" s="45"/>
      <c r="E14" s="45"/>
      <c r="F14" s="45"/>
      <c r="G14" s="44"/>
      <c r="H14" s="45"/>
      <c r="I14" s="46"/>
      <c r="J14" s="47">
        <f>SUM(J11:J13)</f>
        <v>34410</v>
      </c>
      <c r="K14" s="45"/>
      <c r="L14" s="113">
        <f>J14*5%</f>
        <v>1720.5</v>
      </c>
      <c r="M14" s="85">
        <f>J14+L14</f>
        <v>36130.5</v>
      </c>
    </row>
    <row r="15" spans="1:13" ht="25.5" customHeight="1">
      <c r="A15" s="45"/>
      <c r="B15" s="86"/>
      <c r="C15" s="45"/>
      <c r="D15" s="45"/>
      <c r="E15" s="45"/>
      <c r="F15" s="45"/>
      <c r="G15" s="44"/>
      <c r="H15" s="45"/>
      <c r="I15" s="46"/>
      <c r="J15" s="47"/>
      <c r="K15" s="45"/>
      <c r="L15" s="80"/>
      <c r="M15" s="80"/>
    </row>
    <row r="16" spans="1:13" ht="28.5" customHeight="1">
      <c r="A16" s="45"/>
      <c r="B16" s="100" t="s">
        <v>60</v>
      </c>
      <c r="C16" s="77"/>
      <c r="D16" s="77"/>
      <c r="E16" s="77"/>
      <c r="F16" s="77"/>
      <c r="G16" s="77"/>
      <c r="H16" s="77"/>
      <c r="I16" s="77"/>
      <c r="J16" s="87"/>
      <c r="K16" s="77"/>
      <c r="L16" s="88"/>
      <c r="M16" s="78"/>
    </row>
    <row r="17" spans="1:13" ht="28.5" customHeight="1">
      <c r="A17" s="45"/>
      <c r="B17" s="90" t="s">
        <v>61</v>
      </c>
      <c r="C17" s="45"/>
      <c r="D17" s="45">
        <v>5.4</v>
      </c>
      <c r="E17" s="45">
        <v>0.9</v>
      </c>
      <c r="F17" s="45">
        <f>D17*E17</f>
        <v>4.8600000000000003</v>
      </c>
      <c r="G17" s="44">
        <v>1</v>
      </c>
      <c r="H17" s="45">
        <f>F17*G17</f>
        <v>4.8600000000000003</v>
      </c>
      <c r="I17" s="46">
        <v>1350</v>
      </c>
      <c r="J17" s="45">
        <f>H17*I17</f>
        <v>6561</v>
      </c>
      <c r="K17" s="45"/>
      <c r="L17" s="80"/>
      <c r="M17" s="79"/>
    </row>
    <row r="18" spans="1:13" ht="28.5" customHeight="1">
      <c r="A18" s="45"/>
      <c r="B18" s="90" t="s">
        <v>62</v>
      </c>
      <c r="C18" s="45"/>
      <c r="D18" s="45"/>
      <c r="E18" s="45"/>
      <c r="F18" s="45"/>
      <c r="G18" s="7">
        <v>1</v>
      </c>
      <c r="H18" s="45">
        <f>F18*G18</f>
        <v>0</v>
      </c>
      <c r="I18" s="45">
        <v>5000</v>
      </c>
      <c r="J18" s="45">
        <f>G18*I18</f>
        <v>5000</v>
      </c>
      <c r="K18" s="45"/>
      <c r="L18" s="80"/>
      <c r="M18" s="79"/>
    </row>
    <row r="19" spans="1:13" ht="28.5" customHeight="1" thickBot="1">
      <c r="A19" s="45"/>
      <c r="B19" s="86" t="s">
        <v>79</v>
      </c>
      <c r="C19" s="45"/>
      <c r="D19" s="45"/>
      <c r="E19" s="45"/>
      <c r="F19" s="45"/>
      <c r="G19" s="45"/>
      <c r="H19" s="45"/>
      <c r="I19" s="45"/>
      <c r="J19" s="47"/>
      <c r="K19" s="45"/>
      <c r="L19" s="45"/>
      <c r="M19" s="79"/>
    </row>
    <row r="20" spans="1:13" ht="28.5" customHeight="1">
      <c r="A20" s="45"/>
      <c r="B20" s="81"/>
      <c r="C20" s="3"/>
      <c r="D20" s="3"/>
      <c r="E20" s="3"/>
      <c r="F20" s="3"/>
      <c r="G20" s="3"/>
      <c r="H20" s="3"/>
      <c r="I20" s="3"/>
      <c r="J20" s="84">
        <f>SUM(J17:J19)</f>
        <v>11561</v>
      </c>
      <c r="K20" s="3"/>
      <c r="L20" s="113">
        <f>J20*5%</f>
        <v>578.05000000000007</v>
      </c>
      <c r="M20" s="85">
        <f>J20+L20</f>
        <v>12139.05</v>
      </c>
    </row>
    <row r="21" spans="1:13" ht="28.5" customHeight="1">
      <c r="A21" s="45"/>
      <c r="B21" s="52"/>
      <c r="C21" s="45"/>
      <c r="D21" s="45"/>
      <c r="E21" s="45"/>
      <c r="F21" s="45"/>
      <c r="G21" s="45"/>
      <c r="H21" s="45"/>
      <c r="I21" s="45"/>
      <c r="J21" s="47"/>
      <c r="K21" s="45"/>
      <c r="L21" s="80"/>
      <c r="M21" s="80"/>
    </row>
    <row r="22" spans="1:13" ht="28.5" customHeight="1">
      <c r="A22" s="45"/>
      <c r="B22" s="100" t="s">
        <v>63</v>
      </c>
      <c r="C22" s="77"/>
      <c r="D22" s="77"/>
      <c r="E22" s="77"/>
      <c r="F22" s="77"/>
      <c r="G22" s="77"/>
      <c r="H22" s="77"/>
      <c r="I22" s="77"/>
      <c r="J22" s="87"/>
      <c r="K22" s="77"/>
      <c r="L22" s="104"/>
      <c r="M22" s="105"/>
    </row>
    <row r="23" spans="1:13" ht="28.5" customHeight="1">
      <c r="A23" s="45"/>
      <c r="B23" s="90" t="s">
        <v>65</v>
      </c>
      <c r="C23" s="45"/>
      <c r="D23" s="45">
        <v>3.4</v>
      </c>
      <c r="E23" s="45">
        <v>5</v>
      </c>
      <c r="F23" s="45">
        <f>D23*E23</f>
        <v>17</v>
      </c>
      <c r="G23" s="44">
        <v>1</v>
      </c>
      <c r="H23" s="45">
        <f>F23*G23</f>
        <v>17</v>
      </c>
      <c r="I23" s="46">
        <v>300</v>
      </c>
      <c r="J23" s="45">
        <f>H23*I23</f>
        <v>5100</v>
      </c>
      <c r="K23" s="45"/>
      <c r="L23" s="89"/>
      <c r="M23" s="106"/>
    </row>
    <row r="24" spans="1:13" ht="28.5" customHeight="1">
      <c r="A24" s="45"/>
      <c r="B24" s="90" t="s">
        <v>64</v>
      </c>
      <c r="C24" s="45"/>
      <c r="D24" s="45">
        <v>5.7</v>
      </c>
      <c r="E24" s="45">
        <v>7</v>
      </c>
      <c r="F24" s="45">
        <f>D24*E24</f>
        <v>39.9</v>
      </c>
      <c r="G24" s="7">
        <v>1</v>
      </c>
      <c r="H24" s="45">
        <f>F24*G24</f>
        <v>39.9</v>
      </c>
      <c r="I24" s="45">
        <v>1350</v>
      </c>
      <c r="J24" s="45">
        <f>H24*I24</f>
        <v>53865</v>
      </c>
      <c r="K24" s="45"/>
      <c r="L24" s="89"/>
      <c r="M24" s="106"/>
    </row>
    <row r="25" spans="1:13" ht="28.5" customHeight="1">
      <c r="A25" s="45"/>
      <c r="B25" s="90" t="s">
        <v>74</v>
      </c>
      <c r="C25" s="45"/>
      <c r="D25" s="45"/>
      <c r="E25" s="45"/>
      <c r="F25" s="45"/>
      <c r="G25" s="7">
        <v>1</v>
      </c>
      <c r="H25" s="45">
        <f>F25*G25</f>
        <v>0</v>
      </c>
      <c r="I25" s="45">
        <v>8000</v>
      </c>
      <c r="J25" s="45">
        <f>G25*I25</f>
        <v>8000</v>
      </c>
      <c r="K25" s="45"/>
      <c r="L25" s="89"/>
      <c r="M25" s="106"/>
    </row>
    <row r="26" spans="1:13" ht="34.5" customHeight="1" thickBot="1">
      <c r="A26" s="45"/>
      <c r="B26" s="108" t="s">
        <v>81</v>
      </c>
      <c r="C26" s="45"/>
      <c r="D26" s="45"/>
      <c r="E26" s="45"/>
      <c r="F26" s="45"/>
      <c r="G26" s="7"/>
      <c r="H26" s="45"/>
      <c r="I26" s="126"/>
      <c r="J26" s="45"/>
      <c r="K26" s="45"/>
      <c r="L26" s="89"/>
      <c r="M26" s="106"/>
    </row>
    <row r="27" spans="1:13" ht="28.5" customHeight="1">
      <c r="A27" s="45"/>
      <c r="B27" s="115"/>
      <c r="C27" s="3"/>
      <c r="D27" s="3"/>
      <c r="E27" s="3"/>
      <c r="F27" s="3"/>
      <c r="G27" s="3"/>
      <c r="H27" s="3"/>
      <c r="I27" s="3"/>
      <c r="J27" s="84">
        <f>SUM(J23:J26)</f>
        <v>66965</v>
      </c>
      <c r="K27" s="3"/>
      <c r="L27" s="113">
        <f>J27*5%</f>
        <v>3348.25</v>
      </c>
      <c r="M27" s="85">
        <f>J27+L27</f>
        <v>70313.25</v>
      </c>
    </row>
    <row r="28" spans="1:13" ht="28.5" customHeight="1">
      <c r="A28" s="45"/>
      <c r="B28" s="86"/>
      <c r="C28" s="45"/>
      <c r="D28" s="45"/>
      <c r="E28" s="45"/>
      <c r="F28" s="45"/>
      <c r="G28" s="45"/>
      <c r="H28" s="45"/>
      <c r="I28" s="45"/>
      <c r="J28" s="47"/>
      <c r="K28" s="45"/>
      <c r="L28" s="80"/>
      <c r="M28" s="80"/>
    </row>
    <row r="29" spans="1:13" ht="28.5" customHeight="1">
      <c r="A29" s="45"/>
      <c r="B29" s="100" t="s">
        <v>66</v>
      </c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8"/>
    </row>
    <row r="30" spans="1:13" ht="28.5" customHeight="1" thickBot="1">
      <c r="A30" s="45"/>
      <c r="B30" s="90" t="s">
        <v>67</v>
      </c>
      <c r="C30" s="45"/>
      <c r="D30" s="45">
        <v>5</v>
      </c>
      <c r="E30" s="45">
        <v>7</v>
      </c>
      <c r="F30" s="45">
        <f>D30*E30</f>
        <v>35</v>
      </c>
      <c r="G30" s="44">
        <v>1</v>
      </c>
      <c r="H30" s="45">
        <f>F30*G30</f>
        <v>35</v>
      </c>
      <c r="I30" s="46">
        <v>650</v>
      </c>
      <c r="J30" s="45">
        <f>H30*I30</f>
        <v>22750</v>
      </c>
      <c r="K30" s="45"/>
      <c r="L30" s="45"/>
      <c r="M30" s="79"/>
    </row>
    <row r="31" spans="1:13" ht="23.25" customHeight="1">
      <c r="A31" s="45"/>
      <c r="B31" s="102" t="s">
        <v>68</v>
      </c>
      <c r="C31" s="3"/>
      <c r="D31" s="3"/>
      <c r="E31" s="3"/>
      <c r="F31" s="3"/>
      <c r="G31" s="3"/>
      <c r="H31" s="3"/>
      <c r="I31" s="3"/>
      <c r="J31" s="84">
        <f>SUM(J30:J30)</f>
        <v>22750</v>
      </c>
      <c r="K31" s="3"/>
      <c r="L31" s="113">
        <f>J31*5%</f>
        <v>1137.5</v>
      </c>
      <c r="M31" s="85">
        <f>J31+L31</f>
        <v>23887.5</v>
      </c>
    </row>
    <row r="32" spans="1:13" ht="17.25" customHeight="1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</row>
    <row r="33" spans="1:16" ht="21.75" customHeight="1">
      <c r="A33" s="9"/>
      <c r="B33" s="109" t="s">
        <v>69</v>
      </c>
      <c r="C33" s="8"/>
      <c r="D33" s="8"/>
      <c r="E33" s="8"/>
      <c r="F33" s="9"/>
      <c r="G33" s="8"/>
      <c r="H33" s="8"/>
      <c r="I33" s="8"/>
      <c r="J33" s="99"/>
      <c r="K33" s="45"/>
      <c r="L33" s="45"/>
      <c r="M33" s="79"/>
      <c r="P33" s="6"/>
    </row>
    <row r="34" spans="1:16" ht="23.25" customHeight="1">
      <c r="A34" s="9"/>
      <c r="B34" s="90" t="s">
        <v>70</v>
      </c>
      <c r="C34" s="8"/>
      <c r="D34" s="45">
        <v>6</v>
      </c>
      <c r="E34" s="45">
        <v>6.5</v>
      </c>
      <c r="F34" s="45">
        <f>D34*E34</f>
        <v>39</v>
      </c>
      <c r="G34" s="44">
        <v>1</v>
      </c>
      <c r="H34" s="45">
        <f>F34*G34</f>
        <v>39</v>
      </c>
      <c r="I34" s="46">
        <v>1450</v>
      </c>
      <c r="J34" s="45">
        <f>H34*I34</f>
        <v>56550</v>
      </c>
      <c r="K34" s="45"/>
      <c r="L34" s="45"/>
      <c r="M34" s="79"/>
    </row>
    <row r="35" spans="1:16" ht="23.25" customHeight="1" thickBot="1">
      <c r="A35" s="9"/>
      <c r="B35" s="90" t="s">
        <v>72</v>
      </c>
      <c r="C35" s="8"/>
      <c r="D35" s="45">
        <v>2.4</v>
      </c>
      <c r="E35" s="45">
        <v>2.5</v>
      </c>
      <c r="F35" s="45">
        <f>D35*E35</f>
        <v>6</v>
      </c>
      <c r="G35" s="44">
        <v>1</v>
      </c>
      <c r="H35" s="45">
        <f>F35*G35</f>
        <v>6</v>
      </c>
      <c r="I35" s="46">
        <v>1450</v>
      </c>
      <c r="J35" s="45">
        <f>H35*I35</f>
        <v>8700</v>
      </c>
      <c r="K35" s="45"/>
      <c r="L35" s="45"/>
      <c r="M35" s="79"/>
    </row>
    <row r="36" spans="1:16" ht="23.25" customHeight="1">
      <c r="A36" s="8"/>
      <c r="B36" s="102" t="s">
        <v>47</v>
      </c>
      <c r="C36" s="5"/>
      <c r="D36" s="3"/>
      <c r="E36" s="3"/>
      <c r="F36" s="3"/>
      <c r="G36" s="95"/>
      <c r="H36" s="3"/>
      <c r="I36" s="91"/>
      <c r="J36" s="96">
        <f>SUM(J34:J35)</f>
        <v>65250</v>
      </c>
      <c r="K36" s="3"/>
      <c r="L36" s="113">
        <f>J36*5%</f>
        <v>3262.5</v>
      </c>
      <c r="M36" s="85">
        <f>J36+L36</f>
        <v>68512.5</v>
      </c>
    </row>
    <row r="37" spans="1:16" ht="20.25" customHeight="1">
      <c r="A37" s="8"/>
      <c r="B37" s="108"/>
      <c r="C37" s="8"/>
      <c r="D37" s="45"/>
      <c r="E37" s="45"/>
      <c r="F37" s="45"/>
      <c r="G37" s="44"/>
      <c r="H37" s="45"/>
      <c r="I37" s="46"/>
      <c r="J37" s="99"/>
      <c r="K37" s="45"/>
      <c r="L37" s="80"/>
      <c r="M37" s="80"/>
    </row>
    <row r="38" spans="1:16" ht="20.25" customHeight="1">
      <c r="A38" s="8"/>
      <c r="B38" s="101" t="s">
        <v>86</v>
      </c>
      <c r="C38" s="97"/>
      <c r="D38" s="77"/>
      <c r="E38" s="77"/>
      <c r="F38" s="77"/>
      <c r="G38" s="92"/>
      <c r="H38" s="77"/>
      <c r="I38" s="93"/>
      <c r="J38" s="98"/>
      <c r="K38" s="77"/>
      <c r="L38" s="88"/>
      <c r="M38" s="114"/>
    </row>
    <row r="39" spans="1:16" ht="20.25" customHeight="1">
      <c r="A39" s="8"/>
      <c r="B39" s="90" t="s">
        <v>73</v>
      </c>
      <c r="C39" s="8"/>
      <c r="D39" s="45">
        <v>3.2</v>
      </c>
      <c r="E39" s="45">
        <v>7.2</v>
      </c>
      <c r="F39" s="45">
        <f>D39*E39</f>
        <v>23.040000000000003</v>
      </c>
      <c r="G39" s="44">
        <v>1</v>
      </c>
      <c r="H39" s="45">
        <f>F39*G39</f>
        <v>23.040000000000003</v>
      </c>
      <c r="I39" s="46">
        <v>1450</v>
      </c>
      <c r="J39" s="45">
        <f>H39*I39</f>
        <v>33408.000000000007</v>
      </c>
      <c r="K39" s="45"/>
      <c r="L39" s="80"/>
      <c r="M39" s="124"/>
    </row>
    <row r="40" spans="1:16" ht="20.25" customHeight="1">
      <c r="A40" s="8"/>
      <c r="B40" s="90" t="s">
        <v>87</v>
      </c>
      <c r="C40" s="8"/>
      <c r="D40" s="45">
        <v>3.2</v>
      </c>
      <c r="E40" s="45">
        <v>2</v>
      </c>
      <c r="F40" s="45">
        <f>D40*E40</f>
        <v>6.4</v>
      </c>
      <c r="G40" s="44">
        <v>2</v>
      </c>
      <c r="H40" s="45">
        <f>F40*G40</f>
        <v>12.8</v>
      </c>
      <c r="I40" s="46">
        <v>350</v>
      </c>
      <c r="J40" s="45">
        <f>H40*I40</f>
        <v>4480</v>
      </c>
      <c r="K40" s="45"/>
      <c r="L40" s="80"/>
      <c r="M40" s="124"/>
    </row>
    <row r="41" spans="1:16" ht="20.25" customHeight="1" thickBot="1">
      <c r="A41" s="8"/>
      <c r="B41" s="90" t="s">
        <v>88</v>
      </c>
      <c r="C41" s="8"/>
      <c r="D41" s="45"/>
      <c r="E41" s="45"/>
      <c r="F41" s="45"/>
      <c r="G41" s="7">
        <v>4</v>
      </c>
      <c r="H41" s="45">
        <f>F41*G41</f>
        <v>0</v>
      </c>
      <c r="I41" s="45">
        <v>3000</v>
      </c>
      <c r="J41" s="45">
        <f>G41*I41</f>
        <v>12000</v>
      </c>
      <c r="K41" s="45"/>
      <c r="L41" s="80"/>
      <c r="M41" s="124"/>
    </row>
    <row r="42" spans="1:16" ht="38.25" customHeight="1">
      <c r="A42" s="8"/>
      <c r="B42" s="102" t="s">
        <v>89</v>
      </c>
      <c r="C42" s="5"/>
      <c r="D42" s="3"/>
      <c r="E42" s="3"/>
      <c r="F42" s="3"/>
      <c r="G42" s="95"/>
      <c r="H42" s="3"/>
      <c r="I42" s="91"/>
      <c r="J42" s="96">
        <f>SUM(J39:J41)</f>
        <v>49888.000000000007</v>
      </c>
      <c r="K42" s="3"/>
      <c r="L42" s="113">
        <f>J42*5%</f>
        <v>2494.4000000000005</v>
      </c>
      <c r="M42" s="85">
        <f>J42+L42</f>
        <v>52382.400000000009</v>
      </c>
    </row>
    <row r="43" spans="1:16" ht="22.5" customHeight="1">
      <c r="A43" s="8"/>
      <c r="B43" s="108"/>
      <c r="C43" s="8"/>
      <c r="D43" s="45"/>
      <c r="E43" s="45"/>
      <c r="F43" s="45"/>
      <c r="G43" s="44"/>
      <c r="H43" s="45"/>
      <c r="I43" s="46"/>
      <c r="J43" s="99"/>
      <c r="K43" s="45"/>
      <c r="L43" s="89"/>
      <c r="M43" s="89"/>
    </row>
    <row r="44" spans="1:16">
      <c r="A44" s="94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</row>
    <row r="45" spans="1:16">
      <c r="A45" s="94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</row>
    <row r="46" spans="1:16">
      <c r="A46" s="94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</row>
    <row r="47" spans="1:16">
      <c r="A47" s="94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</row>
    <row r="48" spans="1:16">
      <c r="A48" s="94"/>
      <c r="B48" s="45" t="s">
        <v>90</v>
      </c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</row>
    <row r="49" spans="1:12">
      <c r="A49" s="94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</row>
    <row r="50" spans="1:12">
      <c r="A50" s="94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</row>
    <row r="51" spans="1:12">
      <c r="A51" s="94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</row>
    <row r="52" spans="1:12">
      <c r="A52" s="94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</row>
    <row r="53" spans="1:12">
      <c r="A53" s="94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</row>
    <row r="54" spans="1:12">
      <c r="A54" s="94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</row>
    <row r="55" spans="1:12">
      <c r="A55" s="94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</row>
    <row r="56" spans="1:12">
      <c r="A56" s="94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</row>
    <row r="57" spans="1:12">
      <c r="A57" s="94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</row>
    <row r="58" spans="1:12">
      <c r="A58" s="94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</row>
    <row r="59" spans="1:12">
      <c r="A59" s="94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</row>
    <row r="60" spans="1:12">
      <c r="A60" s="94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</row>
    <row r="61" spans="1:12">
      <c r="A61" s="94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</row>
    <row r="62" spans="1:12">
      <c r="A62" s="94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</row>
    <row r="63" spans="1:12">
      <c r="A63" s="94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</row>
    <row r="64" spans="1:12">
      <c r="A64" s="94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79"/>
    </row>
    <row r="65" spans="1:12">
      <c r="A65" s="94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79"/>
    </row>
    <row r="66" spans="1:12">
      <c r="A66" s="94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79"/>
    </row>
    <row r="67" spans="1:12">
      <c r="A67" s="94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79"/>
    </row>
    <row r="68" spans="1:12">
      <c r="A68" s="94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79"/>
    </row>
    <row r="69" spans="1:12">
      <c r="A69" s="94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79"/>
    </row>
    <row r="70" spans="1:12">
      <c r="A70" s="94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79"/>
    </row>
    <row r="71" spans="1:12">
      <c r="A71" s="103"/>
      <c r="B71" s="3"/>
      <c r="C71" s="3"/>
      <c r="D71" s="3"/>
      <c r="E71" s="3"/>
      <c r="F71" s="3"/>
      <c r="G71" s="3"/>
      <c r="H71" s="3"/>
      <c r="I71" s="3"/>
      <c r="J71" s="3"/>
      <c r="K71" s="3"/>
      <c r="L71" s="83"/>
    </row>
  </sheetData>
  <pageMargins left="0.70866141732283472" right="0" top="0.74803149606299213" bottom="0" header="0.31496062992125984" footer="0.31496062992125984"/>
  <pageSetup paperSize="9" scale="65" orientation="landscape" verticalDpi="360" r:id="rId1"/>
  <rowBreaks count="1" manualBreakCount="1">
    <brk id="28" min="1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Quotation</vt:lpstr>
      <vt:lpstr>Workbook</vt:lpstr>
      <vt:lpstr>Quotation!Print_Area</vt:lpstr>
      <vt:lpstr>Workbook!Print_Area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</dc:creator>
  <cp:lastModifiedBy>Admin</cp:lastModifiedBy>
  <cp:lastPrinted>2026-04-15T11:08:59Z</cp:lastPrinted>
  <dcterms:created xsi:type="dcterms:W3CDTF">2012-04-27T09:36:00Z</dcterms:created>
  <dcterms:modified xsi:type="dcterms:W3CDTF">2026-04-18T09:31:58Z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8024A745AB194ADE84632AA9992BDE52_12</vt:lpwstr>
  </property>
  <property fmtid="{D5CDD505-2E9C-101B-9397-08002B2CF9AE}" pid="3" name="KSOProductBuildVer">
    <vt:lpwstr>1033-12.2.0.23196</vt:lpwstr>
  </property>
</Properties>
</file>