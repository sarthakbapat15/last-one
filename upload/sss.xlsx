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live+HGL" sheetId="10" r:id="rId1"/>
    <sheet name="olive Workbook" sheetId="6" r:id="rId2"/>
    <sheet name="HETTICH+ACRYLIC" sheetId="4" r:id="rId3"/>
    <sheet name="Hettich work book" sheetId="9" r:id="rId4"/>
  </sheets>
  <definedNames>
    <definedName name="_xlnm.Print_Area" localSheetId="3">'Hettich work book'!$B$1:$M$69</definedName>
    <definedName name="_xlnm.Print_Area" localSheetId="2">'HETTICH+ACRYLIC'!$A$1:$D$80</definedName>
    <definedName name="_xlnm.Print_Area" localSheetId="1">'olive Workbook'!$B$1:$M$90</definedName>
    <definedName name="_xlnm.Print_Area" localSheetId="0">'olive+HGL'!$A$1:$D$128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<sst xmlns="http://schemas.openxmlformats.org/spreadsheetml/2006/main" count="330" uniqueCount="206">
  <si>
    <t xml:space="preserve">                                          PIONEER ENTERPRISES</t>
  </si>
  <si>
    <t>GAT. NO.63, PLOT NO. 6/B, A/P SHINDEWADI, TAL. BHOR, DIST. PUNE-412205</t>
  </si>
  <si>
    <t xml:space="preserve">                                                                                         </t>
  </si>
  <si>
    <t xml:space="preserve">DATE: </t>
  </si>
  <si>
    <t>To,</t>
  </si>
  <si>
    <t>SUB:- Tentative costing For Household Modular Furniture and Accessories at your Residence.</t>
  </si>
  <si>
    <t>Sr.No.</t>
  </si>
  <si>
    <t>Particulars</t>
  </si>
  <si>
    <t>Qty.</t>
  </si>
  <si>
    <t>Amount</t>
  </si>
  <si>
    <t xml:space="preserve">LIVING ROOM </t>
  </si>
  <si>
    <t>1]</t>
  </si>
  <si>
    <t>2]</t>
  </si>
  <si>
    <t>Wall Décor</t>
  </si>
  <si>
    <t>Application of paint or wall paper or mouldings as per design</t>
  </si>
  <si>
    <t>3]</t>
  </si>
  <si>
    <t xml:space="preserve"> BED  ROOM</t>
  </si>
  <si>
    <t>4]</t>
  </si>
  <si>
    <t>5]</t>
  </si>
  <si>
    <t>6]</t>
  </si>
  <si>
    <t>7]</t>
  </si>
  <si>
    <t>8]</t>
  </si>
  <si>
    <t>9]</t>
  </si>
  <si>
    <t>10]</t>
  </si>
  <si>
    <t>11]</t>
  </si>
  <si>
    <t>KITCHEN</t>
  </si>
  <si>
    <t>12]</t>
  </si>
  <si>
    <t>13]</t>
  </si>
  <si>
    <t>14]</t>
  </si>
  <si>
    <t>15]</t>
  </si>
  <si>
    <t>16]</t>
  </si>
  <si>
    <t>17]</t>
  </si>
  <si>
    <t>18]</t>
  </si>
  <si>
    <t>19]</t>
  </si>
  <si>
    <t>20]</t>
  </si>
  <si>
    <t>21]</t>
  </si>
  <si>
    <t>22]</t>
  </si>
  <si>
    <t>23]</t>
  </si>
  <si>
    <t>24]</t>
  </si>
  <si>
    <t>25]</t>
  </si>
  <si>
    <t>26]</t>
  </si>
  <si>
    <t>SUB TOTAL</t>
  </si>
  <si>
    <t>TRANSPORTATION CHARGES</t>
  </si>
  <si>
    <t xml:space="preserve">DISCOUNT OFFERED FLAT 20% </t>
  </si>
  <si>
    <t>AMOUNT POST DISCOUNT</t>
  </si>
  <si>
    <t>ADD 18% GST</t>
  </si>
  <si>
    <t>GRAND TOTAL (All Inclusive)</t>
  </si>
  <si>
    <t>TERMS &amp; CONDITIONS:-</t>
  </si>
  <si>
    <t>Quotation is valid for One Month.</t>
  </si>
  <si>
    <t>Any changes in design will be charged extra.</t>
  </si>
  <si>
    <t>Advance 40% ,40% Pre dispatch stage &amp; 20% Post Handover</t>
  </si>
  <si>
    <t>Work will be commenced only after the Advance Given.</t>
  </si>
  <si>
    <t>Hardware Fittings- HETTICH, All Door internal colour is same as External laminate</t>
  </si>
  <si>
    <t>Delivery of Goods:- At site</t>
  </si>
  <si>
    <t>The charges for Labour Unions &amp; Mathadi Kamgar for  unloading upto the Installation will be borne by client.</t>
  </si>
  <si>
    <t>Plumbing and Electrical fitting charges will be extra.</t>
  </si>
  <si>
    <t>Regards,</t>
  </si>
  <si>
    <t>For Pioneer Enterprises</t>
  </si>
  <si>
    <t>Mr.Milind Padgaonkar</t>
  </si>
  <si>
    <t>Mr.Phatek</t>
  </si>
  <si>
    <t>l</t>
  </si>
  <si>
    <t>b</t>
  </si>
  <si>
    <t>sq.ft</t>
  </si>
  <si>
    <t>Quantity</t>
  </si>
  <si>
    <t>Total quantity Sq.Ft</t>
  </si>
  <si>
    <t>Rate</t>
  </si>
  <si>
    <t>LIVING</t>
  </si>
  <si>
    <t xml:space="preserve">Shoe rack </t>
  </si>
  <si>
    <t>CARCASE DRAWER</t>
  </si>
  <si>
    <t>drawer</t>
  </si>
  <si>
    <t>Sitting</t>
  </si>
  <si>
    <t>wall décor</t>
  </si>
  <si>
    <t>LS</t>
  </si>
  <si>
    <t>existing Parallel kitchen</t>
  </si>
  <si>
    <t>OLIVE Tandem</t>
  </si>
  <si>
    <t>(main)</t>
  </si>
  <si>
    <t>Base Carcase</t>
  </si>
  <si>
    <t>PVC Cutlery/thali/cup</t>
  </si>
  <si>
    <t>Dust Bin+Btd</t>
  </si>
  <si>
    <t xml:space="preserve">Detergent Pull out </t>
  </si>
  <si>
    <t>Pantry unit</t>
  </si>
  <si>
    <t>Rolling shutter</t>
  </si>
  <si>
    <t>GTPT</t>
  </si>
  <si>
    <t>Magic corner</t>
  </si>
  <si>
    <t>Wicker baskets</t>
  </si>
  <si>
    <t>Store room</t>
  </si>
  <si>
    <t xml:space="preserve">Base shutter Acrylic </t>
  </si>
  <si>
    <t>Tall cabinate Acrylic</t>
  </si>
  <si>
    <t>Overhead cabinate Acrylic</t>
  </si>
  <si>
    <t>PANELLING</t>
  </si>
  <si>
    <t>ACRYLIC</t>
  </si>
  <si>
    <t>G-SECTION</t>
  </si>
  <si>
    <t>OVERHEAD UNIT</t>
  </si>
  <si>
    <t>Carcass Acrylic</t>
  </si>
  <si>
    <r>
      <rPr>
        <sz val="11"/>
        <color theme="1"/>
        <rFont val="Cambria"/>
        <charset val="134"/>
      </rPr>
      <t xml:space="preserve">(L </t>
    </r>
    <r>
      <rPr>
        <sz val="10"/>
        <color theme="1"/>
        <rFont val="Cambria"/>
        <charset val="134"/>
      </rPr>
      <t xml:space="preserve"> PLATFORM</t>
    </r>
    <r>
      <rPr>
        <sz val="11"/>
        <color theme="1"/>
        <rFont val="Cambria"/>
        <charset val="134"/>
      </rPr>
      <t>)</t>
    </r>
  </si>
  <si>
    <t xml:space="preserve">BOTTOM PROFILE </t>
  </si>
  <si>
    <t xml:space="preserve">LOFT UNIT </t>
  </si>
  <si>
    <t>Frame &amp; shutters in Acrylic</t>
  </si>
  <si>
    <t>MASTER BEDROOM-1</t>
  </si>
  <si>
    <t xml:space="preserve">storage  Bed </t>
  </si>
  <si>
    <t>Carcase  Suede finish</t>
  </si>
  <si>
    <t xml:space="preserve">(Storage bed) </t>
  </si>
  <si>
    <t>Cushioned headboard</t>
  </si>
  <si>
    <r>
      <rPr>
        <b/>
        <sz val="12"/>
        <color theme="1"/>
        <rFont val="Cambria"/>
        <charset val="134"/>
        <scheme val="major"/>
      </rPr>
      <t>Sliding Wardrobe</t>
    </r>
    <r>
      <rPr>
        <sz val="12"/>
        <color theme="1"/>
        <rFont val="Cambria"/>
        <charset val="134"/>
        <scheme val="major"/>
      </rPr>
      <t xml:space="preserve"> </t>
    </r>
  </si>
  <si>
    <t>Mechanism</t>
  </si>
  <si>
    <r>
      <rPr>
        <b/>
        <sz val="12"/>
        <color theme="1"/>
        <rFont val="Cambria"/>
        <charset val="134"/>
        <scheme val="major"/>
      </rPr>
      <t>Openable Wardrobe</t>
    </r>
    <r>
      <rPr>
        <sz val="12"/>
        <color theme="1"/>
        <rFont val="Cambria"/>
        <charset val="134"/>
        <scheme val="major"/>
      </rPr>
      <t xml:space="preserve"> </t>
    </r>
  </si>
  <si>
    <t>STORAGE +Mirror</t>
  </si>
  <si>
    <t>LED mirror</t>
  </si>
  <si>
    <t>LOFT above wardrobe</t>
  </si>
  <si>
    <t>top,bottom,frame,shutterSF</t>
  </si>
  <si>
    <t>Study Table</t>
  </si>
  <si>
    <t>top Suede finish</t>
  </si>
  <si>
    <t>Side credenza</t>
  </si>
  <si>
    <t>Cabinet above study table</t>
  </si>
  <si>
    <t>Carcass HGL</t>
  </si>
  <si>
    <t>GUEST BEDROOM</t>
  </si>
  <si>
    <t xml:space="preserve">Murphy  Bed </t>
  </si>
  <si>
    <t>side panels</t>
  </si>
  <si>
    <r>
      <rPr>
        <b/>
        <sz val="12"/>
        <color theme="1"/>
        <rFont val="Cambria"/>
        <charset val="134"/>
        <scheme val="major"/>
      </rPr>
      <t xml:space="preserve">  Openable Wardrobe</t>
    </r>
    <r>
      <rPr>
        <sz val="12"/>
        <color theme="1"/>
        <rFont val="Cambria"/>
        <charset val="134"/>
        <scheme val="major"/>
      </rPr>
      <t xml:space="preserve"> </t>
    </r>
  </si>
  <si>
    <t>TERRACE CABINATE</t>
  </si>
  <si>
    <t>WM area</t>
  </si>
  <si>
    <t>Washing machine shutters</t>
  </si>
  <si>
    <t xml:space="preserve">Washing machine soverhead </t>
  </si>
  <si>
    <t>VANITY CABINATE</t>
  </si>
  <si>
    <t>mirrors</t>
  </si>
  <si>
    <t>Wall cabinates</t>
  </si>
  <si>
    <t>PIONEER ENTERPRISES</t>
  </si>
  <si>
    <t>DATE: 18/04/2026</t>
  </si>
  <si>
    <t>Mr.Damale</t>
  </si>
  <si>
    <t>Pune.</t>
  </si>
  <si>
    <t>ORIGINAL</t>
  </si>
  <si>
    <t>ADDED 17%</t>
  </si>
  <si>
    <t>LIVING ROOM</t>
  </si>
  <si>
    <t xml:space="preserve">Mandir Unit </t>
  </si>
  <si>
    <t>Size:750mmX450mmX2100mm</t>
  </si>
  <si>
    <r>
      <rPr>
        <sz val="12"/>
        <color theme="1"/>
        <rFont val="Cambria"/>
        <charset val="134"/>
        <scheme val="major"/>
      </rPr>
      <t xml:space="preserve">Carcass in </t>
    </r>
    <r>
      <rPr>
        <b/>
        <sz val="12"/>
        <color theme="1"/>
        <rFont val="Cambria"/>
        <charset val="134"/>
        <scheme val="major"/>
      </rPr>
      <t>HDHMR</t>
    </r>
    <r>
      <rPr>
        <sz val="12"/>
        <color theme="1"/>
        <rFont val="Cambria"/>
        <charset val="134"/>
        <scheme val="major"/>
      </rPr>
      <t xml:space="preserve"> with </t>
    </r>
    <r>
      <rPr>
        <b/>
        <sz val="12"/>
        <color theme="1"/>
        <rFont val="Cambria"/>
        <charset val="134"/>
        <scheme val="major"/>
      </rPr>
      <t>Suede finish</t>
    </r>
    <r>
      <rPr>
        <sz val="12"/>
        <color theme="1"/>
        <rFont val="Cambria"/>
        <charset val="134"/>
        <scheme val="major"/>
      </rPr>
      <t xml:space="preserve"> laminate having Drawer and openable shutter with </t>
    </r>
    <r>
      <rPr>
        <b/>
        <sz val="12"/>
        <color theme="1"/>
        <rFont val="Cambria"/>
        <charset val="134"/>
        <scheme val="major"/>
      </rPr>
      <t>Decorative acrylic/mdf</t>
    </r>
    <r>
      <rPr>
        <sz val="12"/>
        <color theme="1"/>
        <rFont val="Cambria"/>
        <charset val="134"/>
        <scheme val="major"/>
      </rPr>
      <t xml:space="preserve"> jali.</t>
    </r>
  </si>
  <si>
    <t xml:space="preserve"> Kitchen Platform (Main+Service)</t>
  </si>
  <si>
    <r>
      <rPr>
        <sz val="12"/>
        <color theme="1"/>
        <rFont val="Calibri"/>
        <charset val="134"/>
        <scheme val="minor"/>
      </rPr>
      <t>In</t>
    </r>
    <r>
      <rPr>
        <b/>
        <sz val="12"/>
        <color theme="1"/>
        <rFont val="Calibri"/>
        <charset val="134"/>
        <scheme val="minor"/>
      </rPr>
      <t xml:space="preserve"> HDHMR Vertical </t>
    </r>
    <r>
      <rPr>
        <sz val="12"/>
        <color theme="1"/>
        <rFont val="Calibri"/>
        <charset val="134"/>
        <scheme val="minor"/>
      </rPr>
      <t>with</t>
    </r>
    <r>
      <rPr>
        <sz val="12"/>
        <color rgb="FFFF0000"/>
        <rFont val="Calibri"/>
        <charset val="134"/>
        <scheme val="minor"/>
      </rPr>
      <t xml:space="preserve"> </t>
    </r>
    <r>
      <rPr>
        <b/>
        <sz val="12"/>
        <rFont val="Calibri"/>
        <charset val="134"/>
        <scheme val="minor"/>
      </rPr>
      <t>Hettich</t>
    </r>
    <r>
      <rPr>
        <sz val="12"/>
        <color rgb="FFFF0000"/>
        <rFont val="Calibri"/>
        <charset val="134"/>
        <scheme val="minor"/>
      </rPr>
      <t xml:space="preserve"> </t>
    </r>
    <r>
      <rPr>
        <b/>
        <sz val="12"/>
        <rFont val="Calibri"/>
        <charset val="134"/>
        <scheme val="minor"/>
      </rPr>
      <t>Tandem (12no.)</t>
    </r>
    <r>
      <rPr>
        <sz val="12"/>
        <color theme="1"/>
        <rFont val="Calibri"/>
        <charset val="134"/>
        <scheme val="minor"/>
      </rPr>
      <t xml:space="preserve"> Including PVC Cutlery,Cup Saucer,Thali, Bottle Pullout(1 No.),  Dust Bin+BTD,</t>
    </r>
  </si>
  <si>
    <t>Kitchen Platform Paneling (Main+Service)</t>
  </si>
  <si>
    <t>Size:2800 mmX750mm(main platform)</t>
  </si>
  <si>
    <t>Size:2000 mmX750mm(service platform)</t>
  </si>
  <si>
    <r>
      <rPr>
        <sz val="12"/>
        <rFont val="Cambria"/>
        <charset val="134"/>
        <scheme val="major"/>
      </rPr>
      <t>Paneling in</t>
    </r>
    <r>
      <rPr>
        <b/>
        <sz val="12"/>
        <rFont val="Cambria"/>
        <charset val="134"/>
        <scheme val="major"/>
      </rPr>
      <t xml:space="preserve"> Acrylic finish</t>
    </r>
    <r>
      <rPr>
        <sz val="12"/>
        <rFont val="Cambria"/>
        <charset val="134"/>
        <scheme val="major"/>
      </rPr>
      <t xml:space="preserve"> laminate with </t>
    </r>
    <r>
      <rPr>
        <b/>
        <sz val="12"/>
        <rFont val="Cambria"/>
        <charset val="134"/>
        <scheme val="major"/>
      </rPr>
      <t>G - Section</t>
    </r>
    <r>
      <rPr>
        <sz val="12"/>
        <rFont val="Cambria"/>
        <charset val="134"/>
        <scheme val="major"/>
      </rPr>
      <t xml:space="preserve"> Handle</t>
    </r>
  </si>
  <si>
    <t>Overhead cabinet -1</t>
  </si>
  <si>
    <t>Size:2800mmX300mmX600mm</t>
  </si>
  <si>
    <r>
      <rPr>
        <sz val="12"/>
        <color theme="1"/>
        <rFont val="Cambria"/>
        <charset val="134"/>
        <scheme val="major"/>
      </rPr>
      <t xml:space="preserve">Carcass in </t>
    </r>
    <r>
      <rPr>
        <b/>
        <sz val="12"/>
        <color theme="1"/>
        <rFont val="Cambria"/>
        <charset val="134"/>
        <scheme val="major"/>
      </rPr>
      <t>HDHMR</t>
    </r>
    <r>
      <rPr>
        <sz val="12"/>
        <color theme="1"/>
        <rFont val="Cambria"/>
        <charset val="134"/>
        <scheme val="major"/>
      </rPr>
      <t xml:space="preserve">  having  </t>
    </r>
    <r>
      <rPr>
        <b/>
        <sz val="12"/>
        <color theme="1"/>
        <rFont val="Cambria"/>
        <charset val="134"/>
        <scheme val="major"/>
      </rPr>
      <t>Acrylic finish</t>
    </r>
    <r>
      <rPr>
        <sz val="12"/>
        <color theme="1"/>
        <rFont val="Cambria"/>
        <charset val="134"/>
        <scheme val="major"/>
      </rPr>
      <t xml:space="preserve"> laminate Openable Shutter with shelf. Bottom Profile for Shutter Opening.</t>
    </r>
    <r>
      <rPr>
        <b/>
        <sz val="12"/>
        <color theme="1"/>
        <rFont val="Cambria"/>
        <charset val="134"/>
        <scheme val="major"/>
      </rPr>
      <t xml:space="preserve"> </t>
    </r>
  </si>
  <si>
    <t>Loft Cabinet-1</t>
  </si>
  <si>
    <r>
      <rPr>
        <sz val="12"/>
        <color theme="1"/>
        <rFont val="Cambria"/>
        <charset val="134"/>
        <scheme val="major"/>
      </rPr>
      <t xml:space="preserve">Framing in </t>
    </r>
    <r>
      <rPr>
        <b/>
        <sz val="12"/>
        <color theme="1"/>
        <rFont val="Cambria"/>
        <charset val="134"/>
        <scheme val="major"/>
      </rPr>
      <t>HDHMR</t>
    </r>
    <r>
      <rPr>
        <sz val="12"/>
        <color theme="1"/>
        <rFont val="Cambria"/>
        <charset val="134"/>
        <scheme val="major"/>
      </rPr>
      <t xml:space="preserve">  having  </t>
    </r>
    <r>
      <rPr>
        <b/>
        <sz val="12"/>
        <color theme="1"/>
        <rFont val="Cambria"/>
        <charset val="134"/>
        <scheme val="major"/>
      </rPr>
      <t xml:space="preserve">Acrylic finish </t>
    </r>
    <r>
      <rPr>
        <sz val="12"/>
        <color theme="1"/>
        <rFont val="Cambria"/>
        <charset val="134"/>
        <scheme val="major"/>
      </rPr>
      <t>laminate Openable Shutter.</t>
    </r>
  </si>
  <si>
    <t>Overhead cabinet -2</t>
  </si>
  <si>
    <t>Size:2000mmX300mmX600mm</t>
  </si>
  <si>
    <r>
      <rPr>
        <sz val="12"/>
        <color theme="1"/>
        <rFont val="Cambria"/>
        <charset val="134"/>
        <scheme val="major"/>
      </rPr>
      <t xml:space="preserve">Carcass in </t>
    </r>
    <r>
      <rPr>
        <b/>
        <sz val="12"/>
        <color theme="1"/>
        <rFont val="Cambria"/>
        <charset val="134"/>
        <scheme val="major"/>
      </rPr>
      <t>HDHMR</t>
    </r>
    <r>
      <rPr>
        <sz val="12"/>
        <color theme="1"/>
        <rFont val="Cambria"/>
        <charset val="134"/>
        <scheme val="major"/>
      </rPr>
      <t xml:space="preserve">  having  </t>
    </r>
    <r>
      <rPr>
        <b/>
        <sz val="12"/>
        <color theme="1"/>
        <rFont val="Cambria"/>
        <charset val="134"/>
        <scheme val="major"/>
      </rPr>
      <t>Acrylic finish</t>
    </r>
    <r>
      <rPr>
        <sz val="12"/>
        <color theme="1"/>
        <rFont val="Cambria"/>
        <charset val="134"/>
        <scheme val="major"/>
      </rPr>
      <t xml:space="preserve"> laminate Openable shutter and Glass Profile Shutter with shelf. Bottom Profile for Shutter Opening.</t>
    </r>
    <r>
      <rPr>
        <b/>
        <sz val="12"/>
        <color theme="1"/>
        <rFont val="Cambria"/>
        <charset val="134"/>
        <scheme val="major"/>
      </rPr>
      <t xml:space="preserve"> </t>
    </r>
  </si>
  <si>
    <t>Loft Cabinet-2</t>
  </si>
  <si>
    <t>Cabinet above Washing Machine</t>
  </si>
  <si>
    <t>Size:700mmX250mmX600mm</t>
  </si>
  <si>
    <r>
      <rPr>
        <sz val="12"/>
        <color theme="1"/>
        <rFont val="Cambria"/>
        <charset val="134"/>
        <scheme val="major"/>
      </rPr>
      <t xml:space="preserve">Carcass in </t>
    </r>
    <r>
      <rPr>
        <b/>
        <sz val="12"/>
        <color theme="1"/>
        <rFont val="Cambria"/>
        <charset val="134"/>
        <scheme val="major"/>
      </rPr>
      <t>HDHMR</t>
    </r>
    <r>
      <rPr>
        <sz val="12"/>
        <color theme="1"/>
        <rFont val="Cambria"/>
        <charset val="134"/>
        <scheme val="major"/>
      </rPr>
      <t xml:space="preserve">  having  </t>
    </r>
    <r>
      <rPr>
        <b/>
        <sz val="12"/>
        <color theme="1"/>
        <rFont val="Cambria"/>
        <charset val="134"/>
        <scheme val="major"/>
      </rPr>
      <t>High Gloss finish</t>
    </r>
    <r>
      <rPr>
        <sz val="12"/>
        <color theme="1"/>
        <rFont val="Cambria"/>
        <charset val="134"/>
        <scheme val="major"/>
      </rPr>
      <t xml:space="preserve"> laminate with Openable Shutter and shelf. Bottom Profile for Shutter Opening.</t>
    </r>
    <r>
      <rPr>
        <b/>
        <sz val="12"/>
        <color theme="1"/>
        <rFont val="Cambria"/>
        <charset val="134"/>
        <scheme val="major"/>
      </rPr>
      <t xml:space="preserve"> </t>
    </r>
  </si>
  <si>
    <t xml:space="preserve">King Size Bed with storage </t>
  </si>
  <si>
    <t xml:space="preserve"> Size: 1800mmX1950mmX400mm</t>
  </si>
  <si>
    <r>
      <rPr>
        <sz val="11"/>
        <color theme="1"/>
        <rFont val="Cambria"/>
        <charset val="134"/>
        <scheme val="major"/>
      </rPr>
      <t>In</t>
    </r>
    <r>
      <rPr>
        <b/>
        <sz val="11"/>
        <color theme="1"/>
        <rFont val="Cambria"/>
        <charset val="134"/>
        <scheme val="major"/>
      </rPr>
      <t xml:space="preserve"> HDHMR </t>
    </r>
    <r>
      <rPr>
        <sz val="11"/>
        <color theme="1"/>
        <rFont val="Cambria"/>
        <charset val="134"/>
        <scheme val="major"/>
      </rPr>
      <t>with</t>
    </r>
    <r>
      <rPr>
        <b/>
        <sz val="11"/>
        <color theme="1"/>
        <rFont val="Cambria"/>
        <charset val="134"/>
        <scheme val="major"/>
      </rPr>
      <t xml:space="preserve"> Suede finish laminate</t>
    </r>
    <r>
      <rPr>
        <sz val="11"/>
        <color theme="1"/>
        <rFont val="Cambria"/>
        <charset val="134"/>
        <scheme val="major"/>
      </rPr>
      <t xml:space="preserve">  &amp; internally white laminate , with cushioned headboard(Bed Back ),without matrees.</t>
    </r>
  </si>
  <si>
    <t>Side Table</t>
  </si>
  <si>
    <t>Size: 450mmX450mmX450mm</t>
  </si>
  <si>
    <r>
      <rPr>
        <sz val="12"/>
        <rFont val="Cambria"/>
        <charset val="134"/>
        <scheme val="major"/>
      </rPr>
      <t xml:space="preserve">In </t>
    </r>
    <r>
      <rPr>
        <b/>
        <sz val="12"/>
        <rFont val="Cambria"/>
        <charset val="134"/>
        <scheme val="major"/>
      </rPr>
      <t xml:space="preserve">HDHMR </t>
    </r>
    <r>
      <rPr>
        <sz val="12"/>
        <rFont val="Cambria"/>
        <charset val="134"/>
        <scheme val="major"/>
      </rPr>
      <t xml:space="preserve">with </t>
    </r>
    <r>
      <rPr>
        <b/>
        <sz val="12"/>
        <rFont val="Cambria"/>
        <charset val="134"/>
        <scheme val="major"/>
      </rPr>
      <t>Suede finish</t>
    </r>
    <r>
      <rPr>
        <sz val="12"/>
        <rFont val="Cambria"/>
        <charset val="134"/>
        <scheme val="major"/>
      </rPr>
      <t xml:space="preserve"> laminate finish having 4 side edge binding with Drawer.</t>
    </r>
  </si>
  <si>
    <t xml:space="preserve">Openable Wardrobe </t>
  </si>
  <si>
    <t>Size: 2000mmX600mmX2100mm</t>
  </si>
  <si>
    <r>
      <rPr>
        <sz val="12"/>
        <rFont val="Cambria"/>
        <charset val="134"/>
        <scheme val="major"/>
      </rPr>
      <t xml:space="preserve">In  </t>
    </r>
    <r>
      <rPr>
        <b/>
        <sz val="12"/>
        <rFont val="Cambria"/>
        <charset val="134"/>
        <scheme val="major"/>
      </rPr>
      <t>HDHMR</t>
    </r>
    <r>
      <rPr>
        <sz val="12"/>
        <rFont val="Cambria"/>
        <charset val="134"/>
        <scheme val="major"/>
      </rPr>
      <t xml:space="preserve"> with </t>
    </r>
    <r>
      <rPr>
        <b/>
        <sz val="12"/>
        <rFont val="Cambria"/>
        <charset val="134"/>
        <scheme val="major"/>
      </rPr>
      <t>suede finish</t>
    </r>
    <r>
      <rPr>
        <sz val="12"/>
        <rFont val="Cambria"/>
        <charset val="134"/>
        <scheme val="major"/>
      </rPr>
      <t xml:space="preserve"> laminate having 4 side edge binding. Openable Door  for door opening with Internal Design as per standard designs.</t>
    </r>
  </si>
  <si>
    <t>Loft above wardrobe</t>
  </si>
  <si>
    <t>Size: 2000mmX600mmX600mm</t>
  </si>
  <si>
    <r>
      <rPr>
        <sz val="12"/>
        <rFont val="Cambria"/>
        <charset val="134"/>
        <scheme val="major"/>
      </rPr>
      <t xml:space="preserve">In </t>
    </r>
    <r>
      <rPr>
        <b/>
        <sz val="12"/>
        <rFont val="Cambria"/>
        <charset val="134"/>
        <scheme val="major"/>
      </rPr>
      <t>HDHMR</t>
    </r>
    <r>
      <rPr>
        <sz val="12"/>
        <rFont val="Cambria"/>
        <charset val="134"/>
        <scheme val="major"/>
      </rPr>
      <t xml:space="preserve"> with </t>
    </r>
    <r>
      <rPr>
        <b/>
        <sz val="12"/>
        <rFont val="Cambria"/>
        <charset val="134"/>
        <scheme val="major"/>
      </rPr>
      <t>suede finish</t>
    </r>
    <r>
      <rPr>
        <sz val="12"/>
        <rFont val="Cambria"/>
        <charset val="134"/>
        <scheme val="major"/>
      </rPr>
      <t xml:space="preserve"> laminate finish having 4 side edge binding, with openable shutter for opening.</t>
    </r>
  </si>
  <si>
    <t xml:space="preserve">Study Table </t>
  </si>
  <si>
    <t>Size: 900mmX600mmX750mm</t>
  </si>
  <si>
    <r>
      <rPr>
        <sz val="12"/>
        <rFont val="Cambria"/>
        <charset val="134"/>
        <scheme val="major"/>
      </rPr>
      <t xml:space="preserve">In </t>
    </r>
    <r>
      <rPr>
        <b/>
        <sz val="12"/>
        <rFont val="Cambria"/>
        <charset val="134"/>
        <scheme val="major"/>
      </rPr>
      <t>HDHMR</t>
    </r>
    <r>
      <rPr>
        <sz val="12"/>
        <rFont val="Cambria"/>
        <charset val="134"/>
        <scheme val="major"/>
      </rPr>
      <t xml:space="preserve"> with</t>
    </r>
    <r>
      <rPr>
        <b/>
        <sz val="12"/>
        <rFont val="Cambria"/>
        <charset val="134"/>
        <scheme val="major"/>
      </rPr>
      <t xml:space="preserve"> suede finish</t>
    </r>
    <r>
      <rPr>
        <sz val="12"/>
        <rFont val="Cambria"/>
        <charset val="134"/>
        <scheme val="major"/>
      </rPr>
      <t xml:space="preserve"> laminate finish having 4 side edge binding with Drawers.</t>
    </r>
  </si>
  <si>
    <t>BEDROOM-1</t>
  </si>
  <si>
    <t>Bed makeover</t>
  </si>
  <si>
    <t>As per actual</t>
  </si>
  <si>
    <t>Existing godrej makeover</t>
  </si>
  <si>
    <r>
      <rPr>
        <sz val="12"/>
        <rFont val="Cambria"/>
        <charset val="134"/>
        <scheme val="major"/>
      </rPr>
      <t xml:space="preserve">Framing in </t>
    </r>
    <r>
      <rPr>
        <b/>
        <sz val="12"/>
        <rFont val="Cambria"/>
        <charset val="134"/>
        <scheme val="major"/>
      </rPr>
      <t>HDHMR</t>
    </r>
    <r>
      <rPr>
        <sz val="12"/>
        <rFont val="Cambria"/>
        <charset val="134"/>
        <scheme val="major"/>
      </rPr>
      <t xml:space="preserve"> with</t>
    </r>
    <r>
      <rPr>
        <b/>
        <sz val="12"/>
        <rFont val="Cambria"/>
        <charset val="134"/>
        <scheme val="major"/>
      </rPr>
      <t xml:space="preserve"> suede finish</t>
    </r>
    <r>
      <rPr>
        <sz val="12"/>
        <rFont val="Cambria"/>
        <charset val="134"/>
        <scheme val="major"/>
      </rPr>
      <t xml:space="preserve"> laminate finish having 4 side edge binding with openable shutter.</t>
    </r>
  </si>
  <si>
    <t>CEILING WORK</t>
  </si>
  <si>
    <t>False Ceiling  (Gypsum)</t>
  </si>
  <si>
    <t>lumsum</t>
  </si>
  <si>
    <t>Painting work for Gypsum ceiling</t>
  </si>
  <si>
    <t>Size:600 sqft (entire home)</t>
  </si>
  <si>
    <t>TRANSPORTATION CHARGE</t>
  </si>
  <si>
    <t>GST 18%</t>
  </si>
  <si>
    <t>TOTAL</t>
  </si>
  <si>
    <t>Advance 50%  &amp; remaining after the completion of the work.</t>
  </si>
  <si>
    <t>Delivery of Goods:- Ex-Factory.</t>
  </si>
  <si>
    <t>Mandir Unit</t>
  </si>
  <si>
    <t>SF</t>
  </si>
  <si>
    <t>hettich Tandem</t>
  </si>
  <si>
    <t>(main+service)</t>
  </si>
  <si>
    <t>bottle pullout</t>
  </si>
  <si>
    <t>Ply Vertical</t>
  </si>
  <si>
    <t>Shelf</t>
  </si>
  <si>
    <t>Transport</t>
  </si>
  <si>
    <t>acrylic</t>
  </si>
  <si>
    <t>OVERHEAD UNIT-1</t>
  </si>
  <si>
    <r>
      <rPr>
        <sz val="11"/>
        <color theme="1"/>
        <rFont val="Cambria"/>
        <charset val="134"/>
      </rPr>
      <t>(</t>
    </r>
    <r>
      <rPr>
        <sz val="10"/>
        <color theme="1"/>
        <rFont val="Cambria"/>
        <charset val="134"/>
      </rPr>
      <t>MAIN PLATFORM</t>
    </r>
    <r>
      <rPr>
        <sz val="11"/>
        <color theme="1"/>
        <rFont val="Cambria"/>
        <charset val="134"/>
      </rPr>
      <t>)</t>
    </r>
  </si>
  <si>
    <t>LOFT UNIT-1</t>
  </si>
  <si>
    <t>top,bottom,frame,ACRYLIC</t>
  </si>
  <si>
    <t>OVERHEAD UNIT-2</t>
  </si>
  <si>
    <t>Carcass ACRYLIC</t>
  </si>
  <si>
    <t>PROFILE GLASS SHUTTER</t>
  </si>
  <si>
    <t>LOFT UNIT-2</t>
  </si>
  <si>
    <t>(hydraulic)</t>
  </si>
  <si>
    <t xml:space="preserve"> Drawers</t>
  </si>
  <si>
    <t>drawer carcase</t>
  </si>
  <si>
    <r>
      <rPr>
        <b/>
        <sz val="12"/>
        <color theme="1"/>
        <rFont val="Cambria"/>
        <charset val="134"/>
        <scheme val="major"/>
      </rPr>
      <t>FALSE CEILING</t>
    </r>
    <r>
      <rPr>
        <sz val="12"/>
        <color theme="1"/>
        <rFont val="Cambria"/>
        <charset val="134"/>
        <scheme val="major"/>
      </rPr>
      <t xml:space="preserve"> </t>
    </r>
  </si>
  <si>
    <t>GYPSUM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</si>
</sst>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86">
    <font>
      <sz val="11"/>
      <color theme="1"/>
      <name val="Calibri"/>
      <charset val="134"/>
      <scheme val="minor"/>
    </font>
    <font>
      <b/>
      <sz val="11"/>
      <color theme="3" tint="0.399975585192419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rgb="FFFF0000"/>
      <name val="Cambria"/>
      <charset val="134"/>
    </font>
    <font>
      <b/>
      <sz val="14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name val="Cambria"/>
      <charset val="134"/>
      <scheme val="major"/>
    </font>
    <font>
      <sz val="12"/>
      <color rgb="FFFF0000"/>
      <name val="Cambria"/>
      <charset val="134"/>
      <scheme val="maj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sz val="12"/>
      <name val="Cambria"/>
      <charset val="134"/>
    </font>
    <font>
      <b/>
      <sz val="12"/>
      <color rgb="FFFF0000"/>
      <name val="Cambria"/>
      <charset val="134"/>
    </font>
    <font>
      <b/>
      <sz val="11"/>
      <name val="Calibri"/>
      <charset val="134"/>
      <scheme val="minor"/>
    </font>
    <font>
      <b/>
      <sz val="11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sz val="11"/>
      <name val="Cambria"/>
      <charset val="134"/>
    </font>
    <font>
      <b/>
      <sz val="16"/>
      <color rgb="FFFF0000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sz val="11"/>
      <color theme="1"/>
      <name val="Cambria"/>
      <charset val="134"/>
      <scheme val="major"/>
    </font>
    <font>
      <b/>
      <sz val="12"/>
      <color rgb="FF403152"/>
      <name val="Cambria"/>
      <charset val="134"/>
      <scheme val="major"/>
    </font>
    <font>
      <b/>
      <sz val="14"/>
      <color rgb="FF403152"/>
      <name val="Cambria"/>
      <charset val="134"/>
      <scheme val="major"/>
    </font>
    <font>
      <b/>
      <sz val="12"/>
      <color rgb="FF0070C0"/>
      <name val="Cambria"/>
      <charset val="134"/>
      <scheme val="major"/>
    </font>
    <font>
      <b/>
      <sz val="11"/>
      <color theme="1"/>
      <name val="Cambria"/>
      <charset val="134"/>
      <scheme val="major"/>
    </font>
    <font>
      <b/>
      <sz val="14"/>
      <color theme="1"/>
      <name val="Cambria"/>
      <charset val="134"/>
      <scheme val="major"/>
    </font>
    <font>
      <sz val="12"/>
      <color rgb="FF000099"/>
      <name val="Cambria"/>
      <charset val="134"/>
      <scheme val="major"/>
    </font>
    <font>
      <sz val="12"/>
      <name val="Cambria"/>
      <charset val="134"/>
      <scheme val="major"/>
    </font>
    <font>
      <b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b/>
      <sz val="12"/>
      <name val="Times New Roman"/>
      <charset val="134"/>
    </font>
    <font>
      <b/>
      <sz val="12"/>
      <color rgb="FFFF0000"/>
      <name val="Cambria"/>
      <charset val="134"/>
      <scheme val="major"/>
    </font>
    <font>
      <b/>
      <sz val="12"/>
      <color rgb="FFC00000"/>
      <name val="Cambria"/>
      <charset val="134"/>
      <scheme val="major"/>
    </font>
    <font>
      <b/>
      <sz val="14"/>
      <color rgb="FFFF0000"/>
      <name val="Cambria"/>
      <charset val="134"/>
      <scheme val="major"/>
    </font>
    <font>
      <b/>
      <sz val="14"/>
      <name val="Cambria"/>
      <charset val="134"/>
      <scheme val="major"/>
    </font>
    <font>
      <b/>
      <sz val="12"/>
      <color rgb="FFC00000"/>
      <name val="Calibri"/>
      <charset val="134"/>
      <scheme val="minor"/>
    </font>
    <font>
      <b/>
      <u/>
      <sz val="10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rgb="FF000099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4"/>
      <color theme="1"/>
      <name val="Cambria"/>
      <charset val="134"/>
      <scheme val="maj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rgb="FF9C0006"/>
      <name val="Calibri"/>
      <charset val="134"/>
    </font>
    <font>
      <b/>
      <sz val="11"/>
      <color rgb="FFFA7D00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rgb="FF006100"/>
      <name val="Calibri"/>
      <charset val="134"/>
    </font>
    <font>
      <b/>
      <sz val="15"/>
      <color rgb="FF1F4A7E"/>
      <name val="Calibri"/>
      <charset val="134"/>
    </font>
    <font>
      <b/>
      <sz val="13"/>
      <color rgb="FF1F4A7E"/>
      <name val="Calibri"/>
      <charset val="134"/>
    </font>
    <font>
      <b/>
      <sz val="11"/>
      <color rgb="FF1F4A7E"/>
      <name val="Calibri"/>
      <charset val="134"/>
    </font>
    <font>
      <sz val="11"/>
      <color rgb="FF3F3F76"/>
      <name val="Calibri"/>
      <charset val="134"/>
    </font>
    <font>
      <sz val="11"/>
      <color rgb="FFFA7D00"/>
      <name val="Calibri"/>
      <charset val="134"/>
    </font>
    <font>
      <sz val="11"/>
      <color rgb="FF9C6500"/>
      <name val="Calibri"/>
      <charset val="134"/>
    </font>
    <font>
      <b/>
      <sz val="11"/>
      <color rgb="FF3F3F3F"/>
      <name val="Calibri"/>
      <charset val="134"/>
    </font>
    <font>
      <b/>
      <sz val="18"/>
      <color rgb="FF1F4A7E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theme="1"/>
      <name val="Cambria"/>
      <charset val="134"/>
    </font>
  </fonts>
  <fills count="71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92">
    <xf numFmtId="0" fontId="0" fillId="0" borderId="0"/>
    <xf numFmtId="43" fontId="0" fillId="0" borderId="0" applyFont="0" applyFill="0" applyBorder="0" applyAlignment="0" applyProtection="0"/>
    <xf numFmtId="44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9" borderId="28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9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0" borderId="31" applyNumberFormat="0" applyAlignment="0" applyProtection="0">
      <alignment vertical="center"/>
    </xf>
    <xf numFmtId="0" fontId="55" fillId="11" borderId="32" applyNumberFormat="0" applyAlignment="0" applyProtection="0">
      <alignment vertical="center"/>
    </xf>
    <xf numFmtId="0" fontId="56" fillId="11" borderId="31" applyNumberFormat="0" applyAlignment="0" applyProtection="0">
      <alignment vertical="center"/>
    </xf>
    <xf numFmtId="0" fontId="57" fillId="12" borderId="33" applyNumberFormat="0" applyAlignment="0" applyProtection="0">
      <alignment vertical="center"/>
    </xf>
    <xf numFmtId="0" fontId="58" fillId="0" borderId="34" applyNumberFormat="0" applyFill="0" applyAlignment="0" applyProtection="0">
      <alignment vertical="center"/>
    </xf>
    <xf numFmtId="0" fontId="59" fillId="0" borderId="35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4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/>
    <xf numFmtId="0" fontId="65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6" borderId="0" applyNumberFormat="0" applyBorder="0" applyAlignment="0" applyProtection="0"/>
    <xf numFmtId="0" fontId="66" fillId="57" borderId="0" applyNumberFormat="0" applyBorder="0" applyAlignment="0" applyProtection="0"/>
    <xf numFmtId="0" fontId="66" fillId="58" borderId="0" applyNumberFormat="0" applyBorder="0" applyAlignment="0" applyProtection="0"/>
    <xf numFmtId="0" fontId="66" fillId="59" borderId="0" applyNumberFormat="0" applyBorder="0" applyAlignment="0" applyProtection="0"/>
    <xf numFmtId="0" fontId="66" fillId="60" borderId="0" applyNumberFormat="0" applyBorder="0" applyAlignment="0" applyProtection="0"/>
    <xf numFmtId="0" fontId="66" fillId="61" borderId="0" applyNumberFormat="0" applyBorder="0" applyAlignment="0" applyProtection="0"/>
    <xf numFmtId="0" fontId="66" fillId="62" borderId="0" applyNumberFormat="0" applyBorder="0" applyAlignment="0" applyProtection="0"/>
    <xf numFmtId="0" fontId="66" fillId="63" borderId="0" applyNumberFormat="0" applyBorder="0" applyAlignment="0" applyProtection="0"/>
    <xf numFmtId="0" fontId="67" fillId="64" borderId="0" applyNumberFormat="0" applyBorder="0" applyAlignment="0" applyProtection="0"/>
    <xf numFmtId="0" fontId="68" fillId="65" borderId="31" applyNumberFormat="0" applyAlignment="0" applyProtection="0"/>
    <xf numFmtId="0" fontId="69" fillId="66" borderId="33" applyNumberFormat="0" applyAlignment="0" applyProtection="0"/>
    <xf numFmtId="43" fontId="70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67" borderId="0" applyNumberFormat="0" applyBorder="0" applyAlignment="0" applyProtection="0"/>
    <xf numFmtId="0" fontId="73" fillId="0" borderId="36" applyNumberFormat="0" applyFill="0" applyAlignment="0" applyProtection="0"/>
    <xf numFmtId="0" fontId="74" fillId="0" borderId="37" applyNumberFormat="0" applyFill="0" applyAlignment="0" applyProtection="0"/>
    <xf numFmtId="0" fontId="75" fillId="0" borderId="38" applyNumberFormat="0" applyFill="0" applyAlignment="0" applyProtection="0"/>
    <xf numFmtId="0" fontId="75" fillId="0" borderId="0" applyNumberFormat="0" applyFill="0" applyBorder="0" applyAlignment="0" applyProtection="0"/>
    <xf numFmtId="0" fontId="76" fillId="68" borderId="31" applyNumberFormat="0" applyAlignment="0" applyProtection="0"/>
    <xf numFmtId="0" fontId="77" fillId="0" borderId="34" applyNumberFormat="0" applyFill="0" applyAlignment="0" applyProtection="0"/>
    <xf numFmtId="0" fontId="78" fillId="69" borderId="0" applyNumberFormat="0" applyBorder="0" applyAlignment="0" applyProtection="0"/>
    <xf numFmtId="0" fontId="70" fillId="0" borderId="0"/>
    <xf numFmtId="0" fontId="70" fillId="70" borderId="28" applyNumberFormat="0" applyFont="0" applyAlignment="0" applyProtection="0"/>
    <xf numFmtId="0" fontId="79" fillId="65" borderId="32" applyNumberFormat="0" applyAlignment="0" applyProtection="0"/>
    <xf numFmtId="0" fontId="80" fillId="0" borderId="0" applyNumberFormat="0" applyFill="0" applyBorder="0" applyAlignment="0" applyProtection="0"/>
    <xf numFmtId="0" fontId="81" fillId="0" borderId="39" applyNumberFormat="0" applyFill="0" applyAlignment="0" applyProtection="0"/>
    <xf numFmtId="0" fontId="82" fillId="0" borderId="0" applyNumberFormat="0" applyFill="0" applyBorder="0" applyAlignment="0" applyProtection="0"/>
  </cellStyleXfs>
  <cellXfs count="27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177" fontId="5" fillId="0" borderId="9" xfId="1" applyNumberFormat="1" applyFont="1" applyBorder="1" applyAlignment="1">
      <alignment horizontal="left"/>
    </xf>
    <xf numFmtId="0" fontId="0" fillId="0" borderId="0" xfId="0" applyBorder="1"/>
    <xf numFmtId="43" fontId="0" fillId="0" borderId="0" xfId="0" applyNumberFormat="1"/>
    <xf numFmtId="0" fontId="6" fillId="0" borderId="8" xfId="0" applyFont="1" applyBorder="1" applyAlignment="1"/>
    <xf numFmtId="0" fontId="7" fillId="0" borderId="0" xfId="0" applyFont="1" applyBorder="1" applyAlignment="1"/>
    <xf numFmtId="177" fontId="5" fillId="0" borderId="9" xfId="1" applyNumberFormat="1" applyFont="1" applyBorder="1"/>
    <xf numFmtId="0" fontId="8" fillId="0" borderId="8" xfId="0" applyFont="1" applyBorder="1" applyAlignment="1">
      <alignment horizontal="right" vertical="top" wrapText="1"/>
    </xf>
    <xf numFmtId="177" fontId="4" fillId="0" borderId="9" xfId="1" applyNumberFormat="1" applyFont="1" applyBorder="1" applyAlignment="1">
      <alignment horizontal="left"/>
    </xf>
    <xf numFmtId="0" fontId="9" fillId="0" borderId="8" xfId="0" applyFont="1" applyBorder="1" applyAlignment="1">
      <alignment horizontal="right" vertical="top" wrapText="1"/>
    </xf>
    <xf numFmtId="177" fontId="5" fillId="0" borderId="10" xfId="1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/>
    <xf numFmtId="0" fontId="10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/>
    <xf numFmtId="0" fontId="11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0" fontId="12" fillId="0" borderId="11" xfId="0" applyFont="1" applyBorder="1" applyAlignment="1">
      <alignment horizontal="center" vertical="center"/>
    </xf>
    <xf numFmtId="43" fontId="13" fillId="0" borderId="9" xfId="1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77" fontId="4" fillId="0" borderId="10" xfId="1" applyNumberFormat="1" applyFont="1" applyBorder="1" applyAlignment="1">
      <alignment horizontal="right"/>
    </xf>
    <xf numFmtId="0" fontId="9" fillId="0" borderId="12" xfId="0" applyFont="1" applyBorder="1" applyAlignment="1">
      <alignment horizontal="right" vertical="top" wrapText="1"/>
    </xf>
    <xf numFmtId="0" fontId="4" fillId="0" borderId="13" xfId="0" applyFont="1" applyBorder="1"/>
    <xf numFmtId="0" fontId="14" fillId="0" borderId="8" xfId="0" applyFont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0" xfId="0" applyFont="1" applyBorder="1" applyAlignment="1">
      <alignment horizontal="center"/>
    </xf>
    <xf numFmtId="43" fontId="13" fillId="0" borderId="10" xfId="1" applyFont="1" applyBorder="1"/>
    <xf numFmtId="43" fontId="13" fillId="0" borderId="9" xfId="1" applyFont="1" applyBorder="1"/>
    <xf numFmtId="0" fontId="15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4" xfId="0" applyFont="1" applyBorder="1" applyAlignment="1">
      <alignment horizontal="center"/>
    </xf>
    <xf numFmtId="0" fontId="4" fillId="0" borderId="2" xfId="0" applyFont="1" applyBorder="1"/>
    <xf numFmtId="0" fontId="4" fillId="0" borderId="10" xfId="0" applyFont="1" applyBorder="1"/>
    <xf numFmtId="0" fontId="4" fillId="0" borderId="8" xfId="0" applyFont="1" applyBorder="1" applyAlignment="1">
      <alignment horizontal="center"/>
    </xf>
    <xf numFmtId="0" fontId="4" fillId="0" borderId="0" xfId="0" applyFont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/>
    <xf numFmtId="43" fontId="13" fillId="0" borderId="11" xfId="1" applyFont="1" applyBorder="1"/>
    <xf numFmtId="0" fontId="4" fillId="0" borderId="1" xfId="0" applyFont="1" applyBorder="1"/>
    <xf numFmtId="177" fontId="5" fillId="0" borderId="7" xfId="1" applyNumberFormat="1" applyFont="1" applyBorder="1"/>
    <xf numFmtId="0" fontId="16" fillId="0" borderId="14" xfId="0" applyFont="1" applyBorder="1" applyAlignment="1">
      <alignment horizontal="center" vertical="top"/>
    </xf>
    <xf numFmtId="0" fontId="4" fillId="2" borderId="2" xfId="0" applyFont="1" applyFill="1" applyBorder="1"/>
    <xf numFmtId="43" fontId="12" fillId="0" borderId="10" xfId="1" applyFont="1" applyBorder="1"/>
    <xf numFmtId="0" fontId="16" fillId="0" borderId="8" xfId="0" applyFont="1" applyBorder="1" applyAlignment="1">
      <alignment horizontal="center" vertical="top"/>
    </xf>
    <xf numFmtId="0" fontId="4" fillId="3" borderId="2" xfId="0" applyFont="1" applyFill="1" applyBorder="1"/>
    <xf numFmtId="0" fontId="4" fillId="0" borderId="0" xfId="0" applyFont="1" applyAlignment="1">
      <alignment horizontal="center"/>
    </xf>
    <xf numFmtId="0" fontId="17" fillId="0" borderId="8" xfId="0" applyFont="1" applyBorder="1" applyAlignment="1">
      <alignment horizontal="center" vertical="top" wrapText="1"/>
    </xf>
    <xf numFmtId="0" fontId="18" fillId="0" borderId="14" xfId="0" applyFont="1" applyBorder="1" applyAlignment="1">
      <alignment horizontal="center" vertical="top" wrapText="1"/>
    </xf>
    <xf numFmtId="177" fontId="19" fillId="0" borderId="10" xfId="1" applyNumberFormat="1" applyFont="1" applyBorder="1"/>
    <xf numFmtId="0" fontId="18" fillId="0" borderId="8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177" fontId="5" fillId="0" borderId="11" xfId="1" applyNumberFormat="1" applyFont="1" applyBorder="1"/>
    <xf numFmtId="0" fontId="17" fillId="0" borderId="0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/>
    </xf>
    <xf numFmtId="0" fontId="16" fillId="0" borderId="13" xfId="0" applyFont="1" applyBorder="1" applyAlignment="1">
      <alignment horizontal="center" vertical="top"/>
    </xf>
    <xf numFmtId="177" fontId="5" fillId="0" borderId="0" xfId="1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8" xfId="0" applyFont="1" applyBorder="1" applyAlignment="1">
      <alignment horizontal="right" wrapText="1"/>
    </xf>
    <xf numFmtId="0" fontId="22" fillId="0" borderId="0" xfId="0" applyFont="1" applyBorder="1" applyAlignment="1">
      <alignment horizontal="right" wrapText="1"/>
    </xf>
    <xf numFmtId="0" fontId="18" fillId="0" borderId="1" xfId="0" applyFont="1" applyBorder="1" applyAlignment="1">
      <alignment horizontal="right" vertical="center" wrapText="1"/>
    </xf>
    <xf numFmtId="0" fontId="18" fillId="0" borderId="7" xfId="0" applyFont="1" applyBorder="1" applyAlignment="1">
      <alignment horizontal="right" vertical="center" wrapText="1"/>
    </xf>
    <xf numFmtId="0" fontId="22" fillId="0" borderId="8" xfId="0" applyFont="1" applyBorder="1" applyAlignment="1">
      <alignment horizontal="center"/>
    </xf>
    <xf numFmtId="0" fontId="22" fillId="0" borderId="0" xfId="0" applyFont="1" applyBorder="1"/>
    <xf numFmtId="0" fontId="17" fillId="0" borderId="0" xfId="0" applyFont="1" applyBorder="1"/>
    <xf numFmtId="0" fontId="17" fillId="0" borderId="9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3" fillId="0" borderId="0" xfId="0" applyFont="1" applyBorder="1"/>
    <xf numFmtId="0" fontId="24" fillId="0" borderId="0" xfId="0" applyFont="1" applyBorder="1"/>
    <xf numFmtId="0" fontId="25" fillId="0" borderId="17" xfId="0" applyFont="1" applyBorder="1" applyAlignment="1">
      <alignment horizontal="center" wrapText="1"/>
    </xf>
    <xf numFmtId="0" fontId="25" fillId="0" borderId="18" xfId="0" applyFont="1" applyBorder="1" applyAlignment="1">
      <alignment horizontal="center" wrapText="1"/>
    </xf>
    <xf numFmtId="0" fontId="25" fillId="0" borderId="19" xfId="0" applyFont="1" applyBorder="1" applyAlignment="1">
      <alignment horizontal="center" wrapText="1"/>
    </xf>
    <xf numFmtId="0" fontId="22" fillId="0" borderId="15" xfId="0" applyFont="1" applyBorder="1" applyAlignment="1">
      <alignment horizontal="center"/>
    </xf>
    <xf numFmtId="0" fontId="26" fillId="0" borderId="16" xfId="0" applyFont="1" applyBorder="1"/>
    <xf numFmtId="0" fontId="17" fillId="0" borderId="16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top"/>
    </xf>
    <xf numFmtId="0" fontId="27" fillId="2" borderId="3" xfId="0" applyFont="1" applyFill="1" applyBorder="1" applyAlignment="1">
      <alignment horizontal="left" vertical="top" wrapText="1"/>
    </xf>
    <xf numFmtId="0" fontId="18" fillId="2" borderId="2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43" fontId="0" fillId="0" borderId="0" xfId="0" applyNumberFormat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43" fontId="17" fillId="0" borderId="7" xfId="1" applyFont="1" applyFill="1" applyBorder="1" applyAlignment="1">
      <alignment horizontal="right" vertical="center"/>
    </xf>
    <xf numFmtId="0" fontId="17" fillId="0" borderId="8" xfId="0" applyFont="1" applyBorder="1" applyAlignment="1">
      <alignment horizontal="center" vertical="center"/>
    </xf>
    <xf numFmtId="0" fontId="28" fillId="0" borderId="23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43" fontId="17" fillId="0" borderId="9" xfId="1" applyFont="1" applyFill="1" applyBorder="1" applyAlignment="1">
      <alignment horizontal="right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top" wrapText="1"/>
    </xf>
    <xf numFmtId="0" fontId="17" fillId="0" borderId="24" xfId="0" applyFont="1" applyBorder="1" applyAlignment="1">
      <alignment horizontal="center"/>
    </xf>
    <xf numFmtId="43" fontId="17" fillId="0" borderId="10" xfId="1" applyFont="1" applyFill="1" applyBorder="1" applyAlignment="1">
      <alignment horizontal="right" vertical="center"/>
    </xf>
    <xf numFmtId="0" fontId="17" fillId="0" borderId="22" xfId="0" applyFont="1" applyBorder="1" applyAlignment="1">
      <alignment horizontal="center"/>
    </xf>
    <xf numFmtId="43" fontId="17" fillId="0" borderId="25" xfId="1" applyFont="1" applyFill="1" applyBorder="1" applyAlignment="1">
      <alignment horizontal="right" vertical="center"/>
    </xf>
    <xf numFmtId="0" fontId="17" fillId="0" borderId="23" xfId="0" applyFont="1" applyBorder="1" applyAlignment="1">
      <alignment horizontal="center"/>
    </xf>
    <xf numFmtId="0" fontId="29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/>
    </xf>
    <xf numFmtId="0" fontId="27" fillId="2" borderId="21" xfId="0" applyFont="1" applyFill="1" applyBorder="1" applyAlignment="1">
      <alignment horizontal="left" vertical="top" wrapText="1"/>
    </xf>
    <xf numFmtId="43" fontId="17" fillId="0" borderId="20" xfId="1" applyFont="1" applyFill="1" applyBorder="1" applyAlignment="1">
      <alignment horizontal="right" vertical="center"/>
    </xf>
    <xf numFmtId="0" fontId="18" fillId="0" borderId="23" xfId="0" applyFont="1" applyBorder="1" applyAlignment="1">
      <alignment horizontal="center"/>
    </xf>
    <xf numFmtId="0" fontId="18" fillId="0" borderId="14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center"/>
    </xf>
    <xf numFmtId="43" fontId="17" fillId="0" borderId="23" xfId="1" applyFont="1" applyFill="1" applyBorder="1" applyAlignment="1">
      <alignment horizontal="right" vertical="center"/>
    </xf>
    <xf numFmtId="0" fontId="29" fillId="0" borderId="24" xfId="0" applyFont="1" applyBorder="1" applyAlignment="1">
      <alignment horizontal="left" vertical="top" wrapText="1"/>
    </xf>
    <xf numFmtId="43" fontId="17" fillId="0" borderId="24" xfId="1" applyFont="1" applyFill="1" applyBorder="1" applyAlignment="1">
      <alignment horizontal="right" vertical="center"/>
    </xf>
    <xf numFmtId="0" fontId="9" fillId="0" borderId="23" xfId="0" applyFont="1" applyBorder="1" applyAlignment="1">
      <alignment horizontal="left" vertical="top" wrapText="1"/>
    </xf>
    <xf numFmtId="0" fontId="18" fillId="0" borderId="23" xfId="0" applyFont="1" applyBorder="1" applyAlignment="1">
      <alignment horizontal="center" vertical="center"/>
    </xf>
    <xf numFmtId="43" fontId="17" fillId="0" borderId="22" xfId="1" applyFont="1" applyFill="1" applyBorder="1" applyAlignment="1">
      <alignment horizontal="right" vertical="center"/>
    </xf>
    <xf numFmtId="43" fontId="17" fillId="0" borderId="26" xfId="1" applyFont="1" applyFill="1" applyBorder="1" applyAlignment="1">
      <alignment horizontal="right" vertical="center"/>
    </xf>
    <xf numFmtId="0" fontId="18" fillId="2" borderId="3" xfId="0" applyFont="1" applyFill="1" applyBorder="1" applyAlignment="1">
      <alignment horizontal="left" vertical="center"/>
    </xf>
    <xf numFmtId="43" fontId="17" fillId="2" borderId="5" xfId="1" applyFont="1" applyFill="1" applyBorder="1" applyAlignment="1">
      <alignment horizontal="right" vertical="center"/>
    </xf>
    <xf numFmtId="0" fontId="30" fillId="4" borderId="21" xfId="0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2" fillId="4" borderId="21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horizontal="left" wrapText="1"/>
    </xf>
    <xf numFmtId="0" fontId="17" fillId="0" borderId="21" xfId="0" applyFont="1" applyBorder="1" applyAlignment="1">
      <alignment horizontal="center" vertical="center" wrapText="1"/>
    </xf>
    <xf numFmtId="43" fontId="17" fillId="0" borderId="27" xfId="1" applyFont="1" applyFill="1" applyBorder="1" applyAlignment="1">
      <alignment horizontal="right" vertical="center"/>
    </xf>
    <xf numFmtId="0" fontId="9" fillId="0" borderId="23" xfId="0" applyFont="1" applyBorder="1" applyAlignment="1">
      <alignment horizontal="left" wrapText="1"/>
    </xf>
    <xf numFmtId="43" fontId="17" fillId="0" borderId="21" xfId="1" applyFont="1" applyFill="1" applyBorder="1" applyAlignment="1">
      <alignment horizontal="right" vertical="center"/>
    </xf>
    <xf numFmtId="0" fontId="17" fillId="0" borderId="21" xfId="0" applyFont="1" applyBorder="1" applyAlignment="1">
      <alignment horizontal="center"/>
    </xf>
    <xf numFmtId="0" fontId="33" fillId="0" borderId="3" xfId="0" applyFont="1" applyBorder="1" applyAlignment="1">
      <alignment horizontal="right" vertical="center"/>
    </xf>
    <xf numFmtId="43" fontId="34" fillId="0" borderId="3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right" vertical="center"/>
    </xf>
    <xf numFmtId="4" fontId="18" fillId="0" borderId="21" xfId="0" applyNumberFormat="1" applyFont="1" applyBorder="1" applyAlignment="1">
      <alignment horizontal="right" vertical="center"/>
    </xf>
    <xf numFmtId="0" fontId="17" fillId="5" borderId="21" xfId="0" applyFont="1" applyFill="1" applyBorder="1" applyAlignment="1">
      <alignment horizontal="center"/>
    </xf>
    <xf numFmtId="0" fontId="35" fillId="5" borderId="4" xfId="0" applyFont="1" applyFill="1" applyBorder="1" applyAlignment="1">
      <alignment horizontal="right" vertical="center"/>
    </xf>
    <xf numFmtId="43" fontId="36" fillId="5" borderId="3" xfId="0" applyNumberFormat="1" applyFont="1" applyFill="1" applyBorder="1" applyAlignment="1">
      <alignment horizontal="center"/>
    </xf>
    <xf numFmtId="4" fontId="18" fillId="5" borderId="21" xfId="0" applyNumberFormat="1" applyFont="1" applyFill="1" applyBorder="1" applyAlignment="1">
      <alignment horizontal="right" vertical="center"/>
    </xf>
    <xf numFmtId="0" fontId="17" fillId="6" borderId="17" xfId="0" applyFont="1" applyFill="1" applyBorder="1" applyAlignment="1">
      <alignment horizontal="center"/>
    </xf>
    <xf numFmtId="0" fontId="35" fillId="6" borderId="18" xfId="0" applyFont="1" applyFill="1" applyBorder="1" applyAlignment="1">
      <alignment horizontal="right" vertical="center"/>
    </xf>
    <xf numFmtId="43" fontId="36" fillId="6" borderId="18" xfId="0" applyNumberFormat="1" applyFont="1" applyFill="1" applyBorder="1" applyAlignment="1">
      <alignment horizontal="center"/>
    </xf>
    <xf numFmtId="4" fontId="18" fillId="6" borderId="19" xfId="0" applyNumberFormat="1" applyFont="1" applyFill="1" applyBorder="1" applyAlignment="1">
      <alignment horizontal="right" vertical="center"/>
    </xf>
    <xf numFmtId="0" fontId="37" fillId="0" borderId="8" xfId="0" applyFont="1" applyBorder="1" applyAlignment="1">
      <alignment horizontal="center"/>
    </xf>
    <xf numFmtId="0" fontId="38" fillId="0" borderId="0" xfId="0" applyFont="1" applyBorder="1" applyAlignment="1">
      <alignment horizontal="left" vertical="center"/>
    </xf>
    <xf numFmtId="43" fontId="37" fillId="0" borderId="0" xfId="0" applyNumberFormat="1" applyFont="1" applyBorder="1" applyAlignment="1">
      <alignment horizontal="center"/>
    </xf>
    <xf numFmtId="43" fontId="37" fillId="0" borderId="9" xfId="0" applyNumberFormat="1" applyFont="1" applyBorder="1" applyAlignment="1">
      <alignment horizontal="center"/>
    </xf>
    <xf numFmtId="0" fontId="39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40" fillId="0" borderId="0" xfId="0" applyFont="1" applyBorder="1"/>
    <xf numFmtId="0" fontId="41" fillId="0" borderId="0" xfId="0" applyFont="1" applyBorder="1"/>
    <xf numFmtId="0" fontId="0" fillId="0" borderId="8" xfId="0" applyBorder="1" applyAlignment="1">
      <alignment horizontal="center" vertical="center"/>
    </xf>
    <xf numFmtId="0" fontId="42" fillId="0" borderId="0" xfId="0" applyFont="1" applyBorder="1" applyAlignment="1">
      <alignment horizontal="left" vertical="top" wrapText="1"/>
    </xf>
    <xf numFmtId="0" fontId="42" fillId="0" borderId="0" xfId="0" applyFont="1" applyBorder="1" applyAlignment="1">
      <alignment vertical="center" wrapText="1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3" fillId="0" borderId="16" xfId="0" applyFont="1" applyBorder="1"/>
    <xf numFmtId="0" fontId="2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9" fontId="3" fillId="0" borderId="0" xfId="0" applyNumberFormat="1" applyFont="1"/>
    <xf numFmtId="43" fontId="3" fillId="0" borderId="0" xfId="0" applyNumberFormat="1" applyFont="1"/>
    <xf numFmtId="0" fontId="3" fillId="0" borderId="0" xfId="0" applyFont="1"/>
    <xf numFmtId="0" fontId="11" fillId="0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4" fillId="2" borderId="0" xfId="0" applyFont="1" applyFill="1" applyBorder="1"/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8" fillId="6" borderId="0" xfId="0" applyFont="1" applyFill="1" applyBorder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9" fillId="0" borderId="20" xfId="0" applyFont="1" applyBorder="1" applyAlignment="1">
      <alignment horizontal="left" vertical="top" wrapText="1"/>
    </xf>
    <xf numFmtId="43" fontId="17" fillId="0" borderId="0" xfId="1" applyFont="1" applyFill="1" applyBorder="1" applyAlignment="1">
      <alignment horizontal="right" vertical="center"/>
    </xf>
    <xf numFmtId="0" fontId="17" fillId="0" borderId="15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top" wrapText="1"/>
    </xf>
    <xf numFmtId="0" fontId="17" fillId="0" borderId="26" xfId="0" applyFont="1" applyBorder="1" applyAlignment="1">
      <alignment horizontal="center" vertical="center"/>
    </xf>
    <xf numFmtId="43" fontId="17" fillId="0" borderId="11" xfId="1" applyFont="1" applyFill="1" applyBorder="1" applyAlignment="1">
      <alignment horizontal="right" vertical="center"/>
    </xf>
    <xf numFmtId="0" fontId="9" fillId="0" borderId="20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18" fillId="0" borderId="26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43" fontId="17" fillId="0" borderId="20" xfId="1" applyFont="1" applyFill="1" applyBorder="1" applyAlignment="1">
      <alignment horizontal="center" vertical="center"/>
    </xf>
    <xf numFmtId="0" fontId="29" fillId="0" borderId="23" xfId="0" applyFont="1" applyBorder="1" applyAlignment="1">
      <alignment horizontal="left" vertical="center"/>
    </xf>
    <xf numFmtId="43" fontId="17" fillId="0" borderId="23" xfId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0" fontId="17" fillId="0" borderId="22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2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top" wrapText="1"/>
    </xf>
    <xf numFmtId="43" fontId="0" fillId="0" borderId="0" xfId="0" applyNumberFormat="1" applyAlignment="1">
      <alignment horizontal="center" vertical="center"/>
    </xf>
    <xf numFmtId="0" fontId="0" fillId="2" borderId="3" xfId="0" applyFont="1" applyFill="1" applyBorder="1" applyAlignment="1">
      <alignment horizontal="left" vertical="top"/>
    </xf>
    <xf numFmtId="0" fontId="43" fillId="2" borderId="21" xfId="0" applyFont="1" applyFill="1" applyBorder="1" applyAlignment="1">
      <alignment horizontal="left" vertical="top" wrapText="1"/>
    </xf>
    <xf numFmtId="0" fontId="17" fillId="2" borderId="2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left" vertical="center"/>
    </xf>
    <xf numFmtId="0" fontId="22" fillId="0" borderId="26" xfId="0" applyFont="1" applyBorder="1" applyAlignment="1">
      <alignment horizontal="left" vertical="top" wrapText="1"/>
    </xf>
    <xf numFmtId="0" fontId="44" fillId="0" borderId="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28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0" fontId="17" fillId="0" borderId="26" xfId="0" applyFont="1" applyBorder="1" applyAlignment="1">
      <alignment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22" fillId="0" borderId="23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18" fillId="0" borderId="20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17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center"/>
    </xf>
    <xf numFmtId="43" fontId="17" fillId="0" borderId="5" xfId="1" applyFont="1" applyFill="1" applyBorder="1" applyAlignment="1">
      <alignment horizontal="right" vertical="center"/>
    </xf>
    <xf numFmtId="0" fontId="22" fillId="0" borderId="3" xfId="0" applyFont="1" applyBorder="1" applyAlignment="1">
      <alignment horizontal="left" vertical="top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1" xfId="0" applyBorder="1" applyAlignment="1">
      <alignment vertical="center"/>
    </xf>
    <xf numFmtId="4" fontId="18" fillId="0" borderId="0" xfId="0" applyNumberFormat="1" applyFont="1" applyBorder="1" applyAlignment="1">
      <alignment horizontal="right" vertical="center"/>
    </xf>
    <xf numFmtId="0" fontId="0" fillId="7" borderId="20" xfId="0" applyFill="1" applyBorder="1" applyAlignment="1">
      <alignment horizontal="center"/>
    </xf>
    <xf numFmtId="0" fontId="37" fillId="7" borderId="1" xfId="0" applyFont="1" applyFill="1" applyBorder="1" applyAlignment="1">
      <alignment horizontal="right" wrapText="1"/>
    </xf>
    <xf numFmtId="0" fontId="16" fillId="7" borderId="6" xfId="0" applyFont="1" applyFill="1" applyBorder="1" applyAlignment="1">
      <alignment horizontal="center"/>
    </xf>
    <xf numFmtId="177" fontId="16" fillId="7" borderId="20" xfId="0" applyNumberFormat="1" applyFont="1" applyFill="1" applyBorder="1" applyAlignment="1">
      <alignment horizontal="right"/>
    </xf>
    <xf numFmtId="177" fontId="16" fillId="0" borderId="8" xfId="0" applyNumberFormat="1" applyFont="1" applyFill="1" applyBorder="1" applyAlignment="1">
      <alignment horizontal="right"/>
    </xf>
    <xf numFmtId="177" fontId="16" fillId="0" borderId="0" xfId="0" applyNumberFormat="1" applyFont="1" applyFill="1" applyBorder="1" applyAlignment="1">
      <alignment horizontal="right"/>
    </xf>
    <xf numFmtId="4" fontId="18" fillId="5" borderId="0" xfId="0" applyNumberFormat="1" applyFont="1" applyFill="1" applyBorder="1" applyAlignment="1">
      <alignment horizontal="right" vertical="center"/>
    </xf>
    <xf numFmtId="0" fontId="14" fillId="8" borderId="21" xfId="0" applyFont="1" applyFill="1" applyBorder="1"/>
  </cellXfs>
  <cellStyles count="9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2 2" xfId="50"/>
    <cellStyle name="20% - Accent3 2" xfId="51"/>
    <cellStyle name="20% - Accent4 2" xfId="52"/>
    <cellStyle name="20% - Accent5 2" xfId="53"/>
    <cellStyle name="20% - Accent6 2" xfId="54"/>
    <cellStyle name="40% - Accent1 2" xfId="55"/>
    <cellStyle name="40% - Accent2 2" xfId="56"/>
    <cellStyle name="40% - Accent3 2" xfId="57"/>
    <cellStyle name="40% - Accent4 2" xfId="58"/>
    <cellStyle name="40% - Accent5 2" xfId="59"/>
    <cellStyle name="40% - Accent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Accent1 2" xfId="67"/>
    <cellStyle name="Accent2 2" xfId="68"/>
    <cellStyle name="Accent3 2" xfId="69"/>
    <cellStyle name="Accent4 2" xfId="70"/>
    <cellStyle name="Accent5 2" xfId="71"/>
    <cellStyle name="Accent6 2" xfId="72"/>
    <cellStyle name="Bad 2" xfId="73"/>
    <cellStyle name="Calculation 2" xfId="74"/>
    <cellStyle name="Check Cell 2" xfId="75"/>
    <cellStyle name="Comma 2" xfId="76"/>
    <cellStyle name="Explanatory Text 2" xfId="77"/>
    <cellStyle name="Good 2" xfId="78"/>
    <cellStyle name="Heading 1 2" xfId="79"/>
    <cellStyle name="Heading 2 2" xfId="80"/>
    <cellStyle name="Heading 3 2" xfId="81"/>
    <cellStyle name="Heading 4 2" xfId="82"/>
    <cellStyle name="Input 2" xfId="83"/>
    <cellStyle name="Linked Cell 2" xfId="84"/>
    <cellStyle name="Neutral 2" xfId="85"/>
    <cellStyle name="Normal 2" xfId="86"/>
    <cellStyle name="Note 2" xfId="87"/>
    <cellStyle name="Output 2" xfId="88"/>
    <cellStyle name="Title 2" xfId="89"/>
    <cellStyle name="Total 2" xfId="90"/>
    <cellStyle name="Warning Text 2" xfId="91"/>
  </cellStyles>
  <tableStyles count="0" defaultTableStyle="TableStyleMedium9" defaultPivotStyle="PivotStyleLight16"/>
  <colors>
    <mruColors>
      <color rgb="00CC0099"/>
      <color rgb="00D60093"/>
      <color rgb="00000099"/>
      <color rgb="00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129540</xdr:colOff>
      <xdr:row>0</xdr:row>
      <xdr:rowOff>38100</xdr:rowOff>
    </xdr:from>
    <xdr:to>
      <xdr:col>1</xdr:col>
      <xdr:colOff>2139950</xdr:colOff>
      <xdr:row>0</xdr:row>
      <xdr:rowOff>669290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38100"/>
          <a:ext cx="2010410" cy="631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tabSelected="1" zoomScaleSheetLayoutView="90" workbookViewId="0">
      <selection activeCell="F4" sqref="F4"/>
    </sheetView>
  </sheetViews>
  <sheetFormatPr defaultColWidth="9" defaultRowHeight="15.6" outlineLevelCol="7"/>
  <cols>
    <col min="1" max="1" width="6.66666666666667" style="92" customWidth="1"/>
    <col min="2" max="2" width="62.2222222222222" customWidth="1"/>
    <col min="3" max="3" width="8.88888888888889" style="93" customWidth="1"/>
    <col min="4" max="4" width="17.4444444444444" style="93" customWidth="1"/>
    <col min="5" max="5" width="14.5555555555556" customWidth="1"/>
    <col min="6" max="6" width="16.1111111111111" customWidth="1"/>
    <col min="8" max="8" width="15.6666666666667" customWidth="1"/>
  </cols>
  <sheetData>
    <row r="1" s="88" customFormat="1" ht="57.6" customHeight="1" spans="1:8">
      <c r="A1" s="214" t="s">
        <v>0</v>
      </c>
      <c r="B1" s="215"/>
      <c r="C1" s="215"/>
      <c r="D1" s="216"/>
    </row>
    <row r="2" s="89" customFormat="1" ht="15.15" spans="1:8">
      <c r="A2" s="97" t="s">
        <v>1</v>
      </c>
      <c r="B2" s="98"/>
      <c r="C2" s="98"/>
      <c r="D2" s="99"/>
    </row>
    <row r="3" s="90" customFormat="1" ht="15.75" customHeight="1" spans="1:8">
      <c r="A3" s="100"/>
      <c r="B3" s="101" t="s">
        <v>2</v>
      </c>
      <c r="C3" s="102" t="s">
        <v>3</v>
      </c>
      <c r="D3" s="103"/>
    </row>
    <row r="4" ht="15" spans="1:8">
      <c r="A4" s="104"/>
      <c r="B4" s="105"/>
      <c r="C4" s="106"/>
      <c r="D4" s="107"/>
    </row>
    <row r="5" ht="15" spans="1:8">
      <c r="A5" s="104"/>
      <c r="B5" s="108" t="s">
        <v>4</v>
      </c>
      <c r="C5" s="109"/>
      <c r="D5" s="110"/>
    </row>
    <row r="6" ht="15" spans="1:8">
      <c r="A6" s="104"/>
      <c r="B6" s="111"/>
      <c r="C6" s="109"/>
      <c r="D6" s="110"/>
    </row>
    <row r="7" ht="15" spans="1:8">
      <c r="A7" s="104"/>
      <c r="B7" s="111"/>
      <c r="C7" s="109"/>
      <c r="D7" s="110"/>
    </row>
    <row r="8" ht="16.2" customHeight="1" spans="1:8">
      <c r="A8" s="104"/>
      <c r="B8" s="112"/>
      <c r="C8" s="109"/>
      <c r="D8" s="110"/>
    </row>
    <row r="9" ht="25.2" customHeight="1" spans="1:8">
      <c r="A9" s="113" t="s">
        <v>5</v>
      </c>
      <c r="B9" s="114"/>
      <c r="C9" s="114"/>
      <c r="D9" s="115"/>
    </row>
    <row r="10" ht="15.75" spans="1:8">
      <c r="A10" s="116"/>
      <c r="B10" s="117"/>
      <c r="C10" s="118"/>
      <c r="D10" s="119"/>
    </row>
    <row r="11" s="91" customFormat="1" ht="15.75" spans="1:8">
      <c r="A11" s="120" t="s">
        <v>6</v>
      </c>
      <c r="B11" s="120" t="s">
        <v>7</v>
      </c>
      <c r="C11" s="121" t="s">
        <v>8</v>
      </c>
      <c r="D11" s="122" t="s">
        <v>9</v>
      </c>
    </row>
    <row r="12" s="91" customFormat="1" ht="18.15" spans="1:8">
      <c r="A12" s="123"/>
      <c r="B12" s="124" t="s">
        <v>10</v>
      </c>
      <c r="C12" s="125"/>
      <c r="D12" s="126"/>
      <c r="F12" s="217"/>
      <c r="H12" s="218"/>
    </row>
    <row r="13" s="91" customFormat="1" ht="15" spans="1:8">
      <c r="A13" s="128" t="s">
        <v>11</v>
      </c>
      <c r="B13" s="219"/>
      <c r="C13" s="120"/>
      <c r="D13" s="130"/>
      <c r="F13" s="220"/>
      <c r="H13" s="127"/>
    </row>
    <row r="14" s="91" customFormat="1" ht="15" spans="1:8">
      <c r="A14" s="131"/>
      <c r="B14" s="132"/>
      <c r="C14" s="133"/>
      <c r="D14" s="134"/>
      <c r="F14" s="220"/>
      <c r="H14" s="127"/>
    </row>
    <row r="15" s="91" customFormat="1" ht="15" spans="1:8">
      <c r="A15" s="131"/>
      <c r="B15" s="132"/>
      <c r="C15" s="133"/>
      <c r="D15" s="134"/>
      <c r="F15" s="220"/>
      <c r="H15" s="127"/>
    </row>
    <row r="16" s="91" customFormat="1" ht="51" customHeight="1" spans="1:8">
      <c r="A16" s="221"/>
      <c r="B16" s="222"/>
      <c r="C16" s="223"/>
      <c r="D16" s="224"/>
      <c r="F16" s="220"/>
      <c r="H16" s="127"/>
    </row>
    <row r="17" s="91" customFormat="1" ht="15" hidden="1" spans="1:8">
      <c r="A17" s="128" t="s">
        <v>12</v>
      </c>
      <c r="B17" s="225" t="s">
        <v>13</v>
      </c>
      <c r="C17" s="168"/>
      <c r="D17" s="130"/>
      <c r="F17" s="220"/>
      <c r="H17" s="127"/>
    </row>
    <row r="18" s="91" customFormat="1" ht="16.35" hidden="1" spans="1:8">
      <c r="A18" s="223"/>
      <c r="B18" s="226" t="s">
        <v>14</v>
      </c>
      <c r="C18" s="227"/>
      <c r="D18" s="224"/>
      <c r="F18" s="220"/>
      <c r="H18" s="127"/>
    </row>
    <row r="19" s="91" customFormat="1" ht="15" spans="1:8">
      <c r="A19" s="128" t="s">
        <v>12</v>
      </c>
      <c r="B19" s="225"/>
      <c r="C19" s="168"/>
      <c r="D19" s="130"/>
      <c r="F19" s="220"/>
      <c r="H19" s="127"/>
    </row>
    <row r="20" s="91" customFormat="1" ht="15.75" spans="1:8">
      <c r="A20" s="223"/>
      <c r="B20" s="222"/>
      <c r="C20" s="227"/>
      <c r="D20" s="224"/>
      <c r="F20" s="220"/>
      <c r="H20" s="127"/>
    </row>
    <row r="21" s="91" customFormat="1" ht="15" spans="1:8">
      <c r="A21" s="131" t="s">
        <v>15</v>
      </c>
      <c r="B21" s="228"/>
      <c r="C21" s="168"/>
      <c r="D21" s="229"/>
      <c r="F21" s="220"/>
      <c r="H21" s="127"/>
    </row>
    <row r="22" s="91" customFormat="1" ht="27.6" customHeight="1" spans="1:8">
      <c r="A22" s="131"/>
      <c r="B22" s="230"/>
      <c r="C22" s="133"/>
      <c r="D22" s="231"/>
      <c r="F22" s="220"/>
      <c r="H22" s="127"/>
    </row>
    <row r="23" s="91" customFormat="1" ht="17.4" hidden="1" customHeight="1" spans="1:8">
      <c r="F23" s="220"/>
      <c r="H23" s="127"/>
    </row>
    <row r="24" s="91" customFormat="1" ht="18.15" spans="1:8">
      <c r="A24" s="123"/>
      <c r="B24" s="124" t="s">
        <v>16</v>
      </c>
      <c r="C24" s="125"/>
      <c r="D24" s="126"/>
      <c r="F24" s="232"/>
      <c r="H24" s="218"/>
    </row>
    <row r="25" s="91" customFormat="1" ht="15" spans="1:8">
      <c r="A25" s="128" t="s">
        <v>17</v>
      </c>
      <c r="B25" s="129"/>
      <c r="C25" s="168"/>
      <c r="D25" s="130"/>
      <c r="F25" s="220"/>
      <c r="H25" s="127"/>
    </row>
    <row r="26" s="91" customFormat="1" ht="15" spans="1:8">
      <c r="A26" s="131"/>
      <c r="B26" s="132"/>
      <c r="C26" s="133"/>
      <c r="D26" s="134"/>
      <c r="F26" s="220"/>
      <c r="H26" s="127"/>
    </row>
    <row r="27" s="91" customFormat="1" ht="46.8" customHeight="1" spans="1:8">
      <c r="A27" s="153"/>
      <c r="B27" s="154"/>
      <c r="C27" s="135"/>
      <c r="D27" s="142"/>
      <c r="F27" s="220"/>
      <c r="H27" s="127"/>
    </row>
    <row r="28" s="91" customFormat="1" ht="15" spans="1:8">
      <c r="A28" s="131" t="s">
        <v>18</v>
      </c>
      <c r="B28" s="159"/>
      <c r="C28" s="168"/>
      <c r="D28" s="156"/>
      <c r="F28" s="220"/>
      <c r="H28" s="127"/>
    </row>
    <row r="29" s="91" customFormat="1" ht="15" spans="1:8">
      <c r="A29" s="131"/>
      <c r="B29" s="132"/>
      <c r="C29" s="133"/>
      <c r="D29" s="134"/>
      <c r="F29" s="220"/>
      <c r="H29" s="127"/>
    </row>
    <row r="30" s="91" customFormat="1" ht="15" spans="1:8">
      <c r="A30" s="131"/>
      <c r="B30" s="132"/>
      <c r="C30" s="133"/>
      <c r="D30" s="134"/>
      <c r="F30" s="220"/>
      <c r="H30" s="127"/>
    </row>
    <row r="31" s="91" customFormat="1" ht="31.8" customHeight="1" spans="1:8">
      <c r="A31" s="153"/>
      <c r="B31" s="154"/>
      <c r="C31" s="135"/>
      <c r="D31" s="142"/>
      <c r="F31" s="220"/>
      <c r="H31" s="127"/>
    </row>
    <row r="32" s="91" customFormat="1" ht="15" spans="1:8">
      <c r="A32" s="138" t="s">
        <v>19</v>
      </c>
      <c r="B32" s="129"/>
      <c r="C32" s="233"/>
      <c r="D32" s="134"/>
      <c r="F32" s="220"/>
      <c r="H32" s="127"/>
    </row>
    <row r="33" s="91" customFormat="1" ht="15" spans="1:8">
      <c r="A33" s="155"/>
      <c r="B33" s="132"/>
      <c r="C33" s="133"/>
      <c r="D33" s="156"/>
      <c r="F33" s="220"/>
      <c r="H33" s="127"/>
    </row>
    <row r="34" s="91" customFormat="1" ht="33" customHeight="1" spans="1:8">
      <c r="A34" s="153"/>
      <c r="B34" s="157"/>
      <c r="C34" s="135"/>
      <c r="D34" s="158"/>
      <c r="F34" s="220"/>
      <c r="H34" s="127"/>
    </row>
    <row r="35" s="91" customFormat="1" customHeight="1" spans="1:8">
      <c r="A35" s="131" t="s">
        <v>20</v>
      </c>
      <c r="B35" s="159"/>
      <c r="C35" s="233"/>
      <c r="D35" s="134"/>
      <c r="F35" s="234"/>
      <c r="H35" s="127"/>
    </row>
    <row r="36" s="91" customFormat="1" ht="15" spans="1:8">
      <c r="A36" s="155"/>
      <c r="B36" s="132"/>
      <c r="C36" s="133"/>
      <c r="D36" s="134"/>
      <c r="F36" s="235"/>
      <c r="H36" s="127"/>
    </row>
    <row r="37" s="91" customFormat="1" ht="60.6" customHeight="1" spans="1:8">
      <c r="A37" s="155"/>
      <c r="B37" s="157"/>
      <c r="C37" s="135"/>
      <c r="D37" s="142"/>
      <c r="F37" s="235"/>
      <c r="H37" s="127"/>
    </row>
    <row r="38" s="91" customFormat="1" ht="15" spans="1:8">
      <c r="A38" s="138" t="s">
        <v>21</v>
      </c>
      <c r="B38" s="129"/>
      <c r="C38" s="143"/>
      <c r="D38" s="156"/>
      <c r="F38" s="235"/>
      <c r="H38" s="127"/>
    </row>
    <row r="39" s="91" customFormat="1" ht="15" spans="1:8">
      <c r="A39" s="155"/>
      <c r="B39" s="132"/>
      <c r="C39" s="133"/>
      <c r="D39" s="134"/>
      <c r="F39" s="235"/>
      <c r="H39" s="127"/>
    </row>
    <row r="40" s="91" customFormat="1" ht="15" spans="1:8">
      <c r="A40" s="153"/>
      <c r="B40" s="157"/>
      <c r="C40" s="135"/>
      <c r="D40" s="158"/>
      <c r="F40" s="235"/>
      <c r="H40" s="127"/>
    </row>
    <row r="41" s="91" customFormat="1" ht="15" spans="1:8">
      <c r="A41" s="131" t="s">
        <v>22</v>
      </c>
      <c r="B41" s="159"/>
      <c r="C41" s="233"/>
      <c r="D41" s="134"/>
      <c r="F41" s="235"/>
      <c r="H41" s="127"/>
    </row>
    <row r="42" s="91" customFormat="1" ht="15" spans="1:8">
      <c r="A42" s="155"/>
      <c r="B42" s="132"/>
      <c r="C42" s="133"/>
      <c r="D42" s="134"/>
      <c r="F42" s="235"/>
      <c r="H42" s="127"/>
    </row>
    <row r="43" s="91" customFormat="1" ht="62.4" customHeight="1" spans="1:8">
      <c r="A43" s="155"/>
      <c r="B43" s="157"/>
      <c r="C43" s="135"/>
      <c r="D43" s="142"/>
      <c r="F43" s="235"/>
      <c r="H43" s="127"/>
    </row>
    <row r="44" s="91" customFormat="1" ht="15" spans="1:8">
      <c r="A44" s="138" t="s">
        <v>23</v>
      </c>
      <c r="B44" s="129"/>
      <c r="C44" s="143"/>
      <c r="D44" s="156"/>
      <c r="F44" s="235"/>
      <c r="H44" s="127"/>
    </row>
    <row r="45" s="91" customFormat="1" ht="15" spans="1:8">
      <c r="A45" s="155"/>
      <c r="B45" s="132"/>
      <c r="C45" s="133"/>
      <c r="D45" s="134"/>
      <c r="F45" s="235"/>
      <c r="H45" s="127"/>
    </row>
    <row r="46" s="91" customFormat="1" ht="15" spans="1:8">
      <c r="A46" s="153"/>
      <c r="B46" s="157"/>
      <c r="C46" s="135"/>
      <c r="D46" s="158"/>
      <c r="F46" s="235"/>
      <c r="H46" s="127"/>
    </row>
    <row r="47" s="91" customFormat="1" ht="15" spans="1:8">
      <c r="A47" s="155" t="s">
        <v>24</v>
      </c>
      <c r="B47" s="129"/>
      <c r="C47" s="143"/>
      <c r="D47" s="156"/>
      <c r="F47" s="235"/>
      <c r="H47" s="127"/>
    </row>
    <row r="48" s="91" customFormat="1" ht="15" spans="1:8">
      <c r="A48" s="155"/>
      <c r="B48" s="132"/>
      <c r="C48" s="133"/>
      <c r="D48" s="134"/>
      <c r="F48" s="235"/>
      <c r="H48" s="127"/>
    </row>
    <row r="49" s="91" customFormat="1" ht="15" spans="1:8">
      <c r="A49" s="155"/>
      <c r="B49" s="157"/>
      <c r="C49" s="135"/>
      <c r="D49" s="158"/>
      <c r="F49" s="235"/>
      <c r="H49" s="127"/>
    </row>
    <row r="50" s="91" customFormat="1" ht="15" hidden="1" spans="1:8">
      <c r="A50" s="155"/>
      <c r="B50" s="132"/>
      <c r="C50" s="133"/>
      <c r="D50" s="134"/>
      <c r="F50" s="235"/>
      <c r="H50" s="127"/>
    </row>
    <row r="51" s="91" customFormat="1" ht="15" hidden="1" spans="1:8">
      <c r="A51" s="155"/>
      <c r="B51" s="132"/>
      <c r="C51" s="133"/>
      <c r="D51" s="134"/>
      <c r="F51" s="235"/>
      <c r="H51" s="127"/>
    </row>
    <row r="52" s="91" customFormat="1" ht="46.8" hidden="1" customHeight="1" spans="1:8">
      <c r="F52" s="235"/>
      <c r="H52" s="127"/>
    </row>
    <row r="53" s="91" customFormat="1" hidden="1" spans="1:8">
      <c r="F53" s="235"/>
      <c r="H53" s="127"/>
    </row>
    <row r="54" s="91" customFormat="1" hidden="1" spans="1:8">
      <c r="F54" s="235"/>
      <c r="H54" s="127"/>
    </row>
    <row r="55" s="91" customFormat="1" ht="6" customHeight="1" spans="1:8">
      <c r="F55" s="235"/>
      <c r="H55" s="127"/>
    </row>
    <row r="56" s="91" customFormat="1" ht="18.15" spans="1:8">
      <c r="A56" s="123"/>
      <c r="B56" s="124" t="s">
        <v>25</v>
      </c>
      <c r="C56" s="125"/>
      <c r="D56" s="126"/>
      <c r="F56" s="232"/>
      <c r="H56" s="127"/>
    </row>
    <row r="57" s="91" customFormat="1" ht="19.8" customHeight="1" spans="1:8">
      <c r="A57" s="138" t="s">
        <v>26</v>
      </c>
      <c r="B57" s="129"/>
      <c r="C57" s="129"/>
      <c r="D57" s="129"/>
      <c r="F57" s="236"/>
      <c r="H57" s="127"/>
    </row>
    <row r="58" s="91" customFormat="1" ht="53.4" customHeight="1" spans="1:8">
      <c r="A58" s="139"/>
      <c r="B58" s="140"/>
      <c r="C58" s="141"/>
      <c r="D58" s="142"/>
      <c r="F58" s="220"/>
      <c r="H58" s="127"/>
    </row>
    <row r="59" s="91" customFormat="1" ht="15" spans="1:8">
      <c r="A59" s="138" t="s">
        <v>27</v>
      </c>
      <c r="B59" s="129"/>
      <c r="C59" s="143"/>
      <c r="D59" s="144"/>
      <c r="F59" s="220"/>
      <c r="H59" s="127"/>
    </row>
    <row r="60" s="91" customFormat="1" ht="15" spans="1:8">
      <c r="A60" s="131"/>
      <c r="B60" s="132"/>
      <c r="C60" s="145"/>
      <c r="D60" s="134"/>
      <c r="F60" s="220"/>
      <c r="H60" s="127"/>
    </row>
    <row r="61" s="91" customFormat="1" ht="18" customHeight="1" spans="1:8">
      <c r="A61" s="139"/>
      <c r="B61" s="146"/>
      <c r="C61" s="141"/>
      <c r="D61" s="142"/>
      <c r="F61" s="220"/>
      <c r="H61" s="127"/>
    </row>
    <row r="62" s="91" customFormat="1" ht="16.5" customHeight="1" spans="1:8">
      <c r="A62" s="138" t="s">
        <v>28</v>
      </c>
      <c r="B62" s="129"/>
      <c r="C62" s="233"/>
      <c r="D62" s="143"/>
      <c r="F62" s="234"/>
      <c r="H62" s="127"/>
    </row>
    <row r="63" s="91" customFormat="1" ht="16.5" customHeight="1" spans="1:8">
      <c r="A63" s="131"/>
      <c r="B63" s="132"/>
      <c r="C63" s="133"/>
      <c r="D63" s="132"/>
      <c r="F63" s="235"/>
      <c r="H63" s="127"/>
    </row>
    <row r="64" s="91" customFormat="1" ht="37.8" customHeight="1" spans="1:8">
      <c r="A64" s="139"/>
      <c r="B64" s="147"/>
      <c r="C64" s="135"/>
      <c r="D64" s="142"/>
      <c r="F64" s="220"/>
      <c r="H64" s="127"/>
    </row>
    <row r="65" s="91" customFormat="1" customHeight="1" spans="1:8">
      <c r="A65" s="138" t="s">
        <v>29</v>
      </c>
      <c r="B65" s="129"/>
      <c r="C65" s="233"/>
      <c r="D65" s="143"/>
      <c r="F65" s="234"/>
      <c r="H65" s="127"/>
    </row>
    <row r="66" s="91" customFormat="1" ht="19.8" customHeight="1" spans="1:8">
      <c r="A66" s="131"/>
      <c r="B66" s="230"/>
      <c r="C66" s="133"/>
      <c r="D66" s="142"/>
      <c r="F66" s="235"/>
      <c r="H66" s="237"/>
    </row>
    <row r="67" s="91" customFormat="1" ht="15" hidden="1" spans="1:8">
      <c r="A67" s="131"/>
      <c r="B67" s="148"/>
      <c r="C67" s="135"/>
      <c r="D67" s="142"/>
      <c r="F67" s="220"/>
      <c r="H67" s="127"/>
    </row>
    <row r="68" s="91" customFormat="1" ht="33.6" customHeight="1" spans="1:8">
      <c r="A68" s="138" t="s">
        <v>30</v>
      </c>
      <c r="B68" s="129"/>
      <c r="C68" s="233"/>
      <c r="D68" s="143"/>
      <c r="F68" s="234"/>
      <c r="H68" s="127"/>
    </row>
    <row r="69" s="91" customFormat="1" ht="16.2" customHeight="1" spans="1:8">
      <c r="A69" s="131"/>
      <c r="B69" s="132"/>
      <c r="C69" s="133"/>
      <c r="D69" s="145"/>
      <c r="F69" s="234"/>
      <c r="H69" s="127"/>
    </row>
    <row r="70" s="91" customFormat="1" ht="16.2" customHeight="1" spans="1:8">
      <c r="A70" s="131"/>
      <c r="B70" s="132"/>
      <c r="C70" s="133"/>
      <c r="D70" s="145"/>
      <c r="F70" s="234"/>
      <c r="H70" s="127"/>
    </row>
    <row r="71" s="91" customFormat="1" customHeight="1" spans="1:8">
      <c r="A71" s="131"/>
      <c r="B71" s="132"/>
      <c r="C71" s="133"/>
      <c r="D71" s="132"/>
      <c r="F71" s="235"/>
      <c r="H71" s="127"/>
    </row>
    <row r="72" s="91" customFormat="1" ht="48.6" customHeight="1" spans="1:8">
      <c r="A72" s="139"/>
      <c r="B72" s="147"/>
      <c r="C72" s="223"/>
      <c r="D72" s="142"/>
      <c r="F72" s="220"/>
      <c r="H72" s="127"/>
    </row>
    <row r="73" s="91" customFormat="1" ht="18.15" spans="1:8">
      <c r="A73" s="238"/>
      <c r="B73" s="239"/>
      <c r="C73" s="240"/>
      <c r="D73" s="241"/>
      <c r="F73" s="217"/>
      <c r="H73" s="127"/>
    </row>
    <row r="74" s="91" customFormat="1" ht="15" spans="1:8">
      <c r="A74" s="128" t="s">
        <v>31</v>
      </c>
      <c r="B74" s="219"/>
      <c r="C74" s="151"/>
      <c r="D74" s="130"/>
      <c r="F74" s="220"/>
      <c r="H74" s="127"/>
    </row>
    <row r="75" s="91" customFormat="1" ht="15" spans="1:8">
      <c r="A75" s="131"/>
      <c r="B75" s="132"/>
      <c r="C75" s="152"/>
      <c r="D75" s="134"/>
      <c r="F75" s="220"/>
      <c r="H75" s="127"/>
    </row>
    <row r="76" s="91" customFormat="1" ht="45" customHeight="1" spans="1:8">
      <c r="A76" s="221"/>
      <c r="B76" s="242"/>
      <c r="C76" s="223"/>
      <c r="D76" s="224"/>
      <c r="F76" s="220"/>
      <c r="H76" s="127"/>
    </row>
    <row r="77" s="91" customFormat="1" ht="20.4" hidden="1" customHeight="1" spans="1:8">
      <c r="A77" s="153"/>
      <c r="B77" s="243"/>
      <c r="C77" s="243"/>
      <c r="D77" s="243"/>
      <c r="F77" s="220"/>
      <c r="H77" s="127"/>
    </row>
    <row r="78" s="91" customFormat="1" ht="18.6" hidden="1" customHeight="1" spans="1:8">
      <c r="A78" s="128"/>
      <c r="B78" s="219"/>
      <c r="C78" s="244"/>
      <c r="D78" s="130"/>
      <c r="F78" s="220"/>
      <c r="H78" s="127"/>
    </row>
    <row r="79" s="91" customFormat="1" ht="26.4" hidden="1" customHeight="1" spans="1:8">
      <c r="A79" s="131"/>
      <c r="B79" s="245"/>
      <c r="C79" s="246"/>
      <c r="D79" s="134"/>
      <c r="F79" s="220"/>
      <c r="H79" s="127"/>
    </row>
    <row r="80" s="91" customFormat="1" ht="25.8" hidden="1" customHeight="1" spans="1:8">
      <c r="A80" s="247"/>
      <c r="B80" s="242"/>
      <c r="C80" s="248"/>
      <c r="D80" s="224"/>
      <c r="F80" s="220"/>
      <c r="H80" s="127"/>
    </row>
    <row r="81" s="91" customFormat="1" ht="15" spans="1:8">
      <c r="A81" s="131" t="s">
        <v>32</v>
      </c>
      <c r="B81" s="159"/>
      <c r="C81" s="249"/>
      <c r="D81" s="151"/>
      <c r="F81" s="220"/>
      <c r="H81" s="127"/>
    </row>
    <row r="82" s="91" customFormat="1" ht="15" spans="1:8">
      <c r="A82" s="155"/>
      <c r="B82" s="132"/>
      <c r="C82" s="250"/>
      <c r="D82" s="156"/>
      <c r="F82" s="220"/>
      <c r="H82" s="127"/>
    </row>
    <row r="83" s="91" customFormat="1" ht="46.8" customHeight="1" spans="1:8">
      <c r="A83" s="155"/>
      <c r="B83" s="157"/>
      <c r="C83" s="139"/>
      <c r="D83" s="162"/>
      <c r="F83" s="220"/>
      <c r="H83" s="127"/>
    </row>
    <row r="84" s="91" customFormat="1" ht="15" spans="1:8">
      <c r="A84" s="138" t="s">
        <v>33</v>
      </c>
      <c r="B84" s="129"/>
      <c r="C84" s="143"/>
      <c r="D84" s="156"/>
      <c r="F84" s="220"/>
      <c r="H84" s="127"/>
    </row>
    <row r="85" s="91" customFormat="1" ht="15" spans="1:8">
      <c r="A85" s="155"/>
      <c r="B85" s="132"/>
      <c r="C85" s="133"/>
      <c r="D85" s="134"/>
      <c r="F85" s="220"/>
      <c r="H85" s="127"/>
    </row>
    <row r="86" s="91" customFormat="1" ht="33.6" customHeight="1" spans="1:8">
      <c r="A86" s="153"/>
      <c r="B86" s="157"/>
      <c r="C86" s="135"/>
      <c r="D86" s="158"/>
      <c r="F86" s="220"/>
      <c r="H86" s="127"/>
    </row>
    <row r="87" s="91" customFormat="1" ht="15" spans="1:8">
      <c r="A87" s="155" t="s">
        <v>34</v>
      </c>
      <c r="B87" s="129"/>
      <c r="C87" s="143"/>
      <c r="D87" s="156"/>
      <c r="F87" s="220"/>
      <c r="H87" s="127"/>
    </row>
    <row r="88" s="91" customFormat="1" ht="15" spans="1:8">
      <c r="A88" s="155"/>
      <c r="B88" s="132"/>
      <c r="C88" s="133"/>
      <c r="D88" s="134"/>
      <c r="F88" s="220"/>
      <c r="H88" s="127"/>
    </row>
    <row r="89" s="91" customFormat="1" ht="49.8" customHeight="1" spans="1:8">
      <c r="A89" s="250"/>
      <c r="B89" s="157"/>
      <c r="C89" s="135"/>
      <c r="D89" s="158"/>
      <c r="F89" s="220"/>
      <c r="H89" s="127"/>
    </row>
    <row r="90" s="91" customFormat="1" ht="15" hidden="1" spans="1:8">
      <c r="A90" s="155"/>
      <c r="B90" s="132"/>
      <c r="C90" s="133"/>
      <c r="D90" s="134"/>
      <c r="F90" s="220"/>
      <c r="H90" s="127"/>
    </row>
    <row r="91" s="91" customFormat="1" ht="33" hidden="1" customHeight="1" spans="1:8">
      <c r="F91" s="220"/>
      <c r="H91" s="127"/>
    </row>
    <row r="92" s="91" customFormat="1" ht="15" spans="1:8">
      <c r="A92" s="131" t="s">
        <v>35</v>
      </c>
      <c r="B92" s="129"/>
      <c r="C92" s="161"/>
      <c r="D92" s="161"/>
      <c r="F92" s="220"/>
      <c r="H92" s="127"/>
    </row>
    <row r="93" s="91" customFormat="1" ht="15" spans="1:8">
      <c r="A93" s="131"/>
      <c r="B93" s="132"/>
      <c r="C93" s="156"/>
      <c r="D93" s="134"/>
      <c r="F93" s="220"/>
      <c r="H93" s="127"/>
    </row>
    <row r="94" s="91" customFormat="1" ht="15" spans="1:8">
      <c r="A94" s="131"/>
      <c r="B94" s="132"/>
      <c r="C94" s="156"/>
      <c r="D94" s="134"/>
      <c r="F94" s="220"/>
      <c r="H94" s="127"/>
    </row>
    <row r="95" s="91" customFormat="1" ht="15" spans="1:8">
      <c r="A95" s="131"/>
      <c r="B95" s="132"/>
      <c r="C95" s="152"/>
      <c r="D95" s="134"/>
      <c r="F95" s="220"/>
      <c r="H95" s="127"/>
    </row>
    <row r="96" s="91" customFormat="1" ht="18.6" customHeight="1" spans="1:8">
      <c r="A96" s="153"/>
      <c r="B96" s="154"/>
      <c r="C96" s="135"/>
      <c r="D96" s="142"/>
      <c r="F96" s="220"/>
      <c r="H96" s="127"/>
    </row>
    <row r="97" s="91" customFormat="1" ht="15" spans="1:8">
      <c r="A97" s="131" t="s">
        <v>36</v>
      </c>
      <c r="B97" s="129"/>
      <c r="C97" s="161"/>
      <c r="D97" s="161"/>
      <c r="F97" s="220"/>
      <c r="H97" s="127"/>
    </row>
    <row r="98" s="91" customFormat="1" ht="15" spans="1:8">
      <c r="A98" s="131"/>
      <c r="B98" s="132"/>
      <c r="C98" s="156"/>
      <c r="D98" s="134"/>
      <c r="F98" s="220"/>
      <c r="H98" s="127"/>
    </row>
    <row r="99" s="91" customFormat="1" ht="15" spans="1:8">
      <c r="A99" s="131"/>
      <c r="B99" s="132"/>
      <c r="C99" s="152"/>
      <c r="D99" s="134"/>
      <c r="F99" s="220"/>
      <c r="H99" s="127"/>
    </row>
    <row r="100" s="91" customFormat="1" ht="15.75" spans="1:8">
      <c r="A100" s="155"/>
      <c r="B100" s="251"/>
      <c r="C100" s="133"/>
      <c r="D100" s="134"/>
      <c r="F100" s="220"/>
      <c r="H100" s="127"/>
    </row>
    <row r="101" s="91" customFormat="1" ht="15" spans="1:8">
      <c r="A101" s="168" t="s">
        <v>37</v>
      </c>
      <c r="B101" s="252"/>
      <c r="C101" s="253"/>
      <c r="D101" s="130"/>
      <c r="F101" s="220"/>
      <c r="H101" s="127"/>
    </row>
    <row r="102" s="91" customFormat="1" ht="33" customHeight="1" spans="1:8">
      <c r="A102" s="223"/>
      <c r="B102" s="242"/>
      <c r="C102" s="254"/>
      <c r="D102" s="224"/>
      <c r="F102" s="220"/>
      <c r="H102" s="127"/>
    </row>
    <row r="103" s="91" customFormat="1" ht="15" spans="1:8">
      <c r="A103" s="168" t="s">
        <v>38</v>
      </c>
      <c r="B103" s="255"/>
      <c r="C103" s="253"/>
      <c r="D103" s="130"/>
      <c r="F103" s="220"/>
      <c r="H103" s="127"/>
    </row>
    <row r="104" s="91" customFormat="1" ht="15.75" spans="1:8">
      <c r="A104" s="223"/>
      <c r="B104" s="256"/>
      <c r="C104" s="254"/>
      <c r="D104" s="224"/>
      <c r="F104" s="220"/>
      <c r="H104" s="127"/>
    </row>
    <row r="105" s="91" customFormat="1" ht="15.75" spans="1:8">
      <c r="A105" s="257" t="s">
        <v>39</v>
      </c>
      <c r="B105" s="258"/>
      <c r="C105" s="259"/>
      <c r="D105" s="260"/>
      <c r="F105" s="220"/>
      <c r="H105" s="127"/>
    </row>
    <row r="106" s="91" customFormat="1" ht="15.75" spans="1:8">
      <c r="A106" s="223"/>
      <c r="B106" s="256"/>
      <c r="C106" s="254"/>
      <c r="D106" s="224"/>
      <c r="F106" s="220"/>
      <c r="H106" s="127"/>
    </row>
    <row r="107" s="91" customFormat="1" ht="15.75" spans="1:8">
      <c r="A107" s="257" t="s">
        <v>40</v>
      </c>
      <c r="B107" s="261"/>
      <c r="C107" s="259"/>
      <c r="D107" s="260"/>
      <c r="F107" s="220"/>
      <c r="H107" s="127"/>
    </row>
    <row r="108" s="91" customFormat="1" ht="15.75" spans="1:8">
      <c r="A108" s="262"/>
      <c r="B108" s="263"/>
      <c r="C108" s="264"/>
      <c r="D108" s="265"/>
      <c r="F108" s="220"/>
      <c r="H108" s="127"/>
    </row>
    <row r="109" s="91" customFormat="1" ht="27" hidden="1" customHeight="1" spans="1:8">
      <c r="A109" s="264"/>
      <c r="C109" s="264"/>
      <c r="D109" s="265"/>
      <c r="F109" s="220"/>
      <c r="H109" s="127"/>
    </row>
    <row r="110" ht="15.75" spans="1:8">
      <c r="A110" s="174"/>
      <c r="B110" s="175" t="s">
        <v>41</v>
      </c>
      <c r="C110" s="176"/>
      <c r="D110" s="177"/>
      <c r="F110" s="266"/>
      <c r="H110" s="127"/>
    </row>
    <row r="111" ht="16.35" spans="1:8">
      <c r="A111" s="267"/>
      <c r="B111" s="268" t="s">
        <v>42</v>
      </c>
      <c r="C111" s="269"/>
      <c r="D111" s="270">
        <v>3000</v>
      </c>
      <c r="E111" s="271"/>
      <c r="F111" s="266"/>
      <c r="H111" s="127"/>
    </row>
    <row r="112" ht="16.35" spans="1:8">
      <c r="A112" s="267"/>
      <c r="B112" s="268" t="s">
        <v>43</v>
      </c>
      <c r="C112" s="269"/>
      <c r="D112" s="270"/>
      <c r="E112" s="272"/>
      <c r="F112" s="266"/>
      <c r="H112" s="127"/>
    </row>
    <row r="113" ht="16.35" spans="1:8">
      <c r="A113" s="267"/>
      <c r="B113" s="175" t="s">
        <v>44</v>
      </c>
      <c r="C113" s="176"/>
      <c r="D113" s="178"/>
      <c r="E113" s="272"/>
      <c r="F113" s="266"/>
      <c r="H113" s="127"/>
    </row>
    <row r="114" ht="15.75" spans="1:8">
      <c r="A114" s="174"/>
      <c r="B114" s="175" t="s">
        <v>45</v>
      </c>
      <c r="D114" s="178"/>
      <c r="F114" s="266"/>
      <c r="H114" s="127"/>
    </row>
    <row r="115" ht="18.15" spans="1:8">
      <c r="A115" s="179"/>
      <c r="B115" s="180" t="s">
        <v>46</v>
      </c>
      <c r="C115" s="181"/>
      <c r="D115" s="182"/>
      <c r="F115" s="273"/>
      <c r="H115" s="127"/>
    </row>
    <row r="116" ht="17.4" spans="1:8">
      <c r="A116" s="183"/>
      <c r="B116" s="184"/>
      <c r="C116" s="185"/>
      <c r="D116" s="186"/>
      <c r="H116" s="127">
        <f t="shared" ref="H116" si="0">F116*7%+F116</f>
        <v>0</v>
      </c>
    </row>
    <row r="117" spans="1:8">
      <c r="A117" s="187"/>
      <c r="B117" s="188" t="s">
        <v>47</v>
      </c>
      <c r="C117" s="189"/>
      <c r="D117" s="190"/>
    </row>
    <row r="118" spans="1:8">
      <c r="A118" s="13" t="s">
        <v>11</v>
      </c>
      <c r="B118" s="191" t="s">
        <v>48</v>
      </c>
      <c r="C118" s="192"/>
      <c r="D118" s="193"/>
    </row>
    <row r="119" ht="16.35" spans="1:8">
      <c r="A119" s="13" t="s">
        <v>12</v>
      </c>
      <c r="B119" s="191" t="s">
        <v>49</v>
      </c>
      <c r="C119" s="194"/>
      <c r="D119" s="195"/>
    </row>
    <row r="120" ht="16.35" spans="1:8">
      <c r="A120" s="13" t="s">
        <v>15</v>
      </c>
      <c r="B120" s="274" t="s">
        <v>50</v>
      </c>
      <c r="C120" s="194"/>
      <c r="D120" s="195"/>
    </row>
    <row r="121" spans="1:8">
      <c r="A121" s="13" t="s">
        <v>17</v>
      </c>
      <c r="B121" s="196" t="s">
        <v>51</v>
      </c>
      <c r="C121" s="194"/>
      <c r="D121" s="195"/>
    </row>
    <row r="122" spans="1:8">
      <c r="A122" s="13" t="s">
        <v>18</v>
      </c>
      <c r="B122" s="196" t="s">
        <v>52</v>
      </c>
      <c r="C122" s="194"/>
      <c r="D122" s="195"/>
    </row>
    <row r="123" spans="1:8">
      <c r="A123" s="13" t="s">
        <v>18</v>
      </c>
      <c r="B123" s="197" t="s">
        <v>53</v>
      </c>
      <c r="C123" s="194"/>
      <c r="D123" s="195"/>
    </row>
    <row r="124" ht="31.2" spans="1:8">
      <c r="A124" s="198" t="s">
        <v>19</v>
      </c>
      <c r="B124" s="199" t="s">
        <v>54</v>
      </c>
      <c r="C124" s="194"/>
      <c r="D124" s="195"/>
    </row>
    <row r="125" spans="1:8">
      <c r="A125" s="198" t="s">
        <v>20</v>
      </c>
      <c r="B125" s="200" t="s">
        <v>55</v>
      </c>
      <c r="C125" s="194"/>
      <c r="D125" s="195"/>
    </row>
    <row r="126" spans="1:8">
      <c r="A126" s="13"/>
      <c r="B126" s="201" t="s">
        <v>56</v>
      </c>
      <c r="C126" s="192"/>
      <c r="D126" s="193"/>
    </row>
    <row r="127" spans="1:8">
      <c r="A127" s="13"/>
      <c r="B127" s="201" t="s">
        <v>57</v>
      </c>
      <c r="C127" s="192"/>
      <c r="D127" s="193"/>
    </row>
    <row r="128" ht="16.35" spans="1:8">
      <c r="A128" s="202"/>
      <c r="B128" s="203" t="s">
        <v>58</v>
      </c>
      <c r="C128" s="204"/>
      <c r="D128" s="205"/>
    </row>
  </sheetData>
  <mergeCells count="14">
    <mergeCell ref="A1:D1"/>
    <mergeCell ref="A2:D2"/>
    <mergeCell ref="C3:D3"/>
    <mergeCell ref="A9:D9"/>
    <mergeCell ref="C21:C22"/>
    <mergeCell ref="C25:C27"/>
    <mergeCell ref="C28:C31"/>
    <mergeCell ref="C32:C34"/>
    <mergeCell ref="C35:C37"/>
    <mergeCell ref="C41:C43"/>
    <mergeCell ref="C62:C64"/>
    <mergeCell ref="C65:C67"/>
    <mergeCell ref="C68:C72"/>
    <mergeCell ref="D21:D22"/>
  </mergeCells>
  <pageMargins left="0.984251968503937" right="0.393700787401575" top="0.681102362" bottom="0.5" header="0.708661417322835" footer="0.31496062992126"/>
  <pageSetup paperSize="1" scale="73" orientation="portrait"/>
  <headerFooter/>
  <rowBreaks count="2" manualBreakCount="2">
    <brk id="55" max="3" man="1"/>
    <brk id="72" max="3" man="1"/>
  </rowBreaks>
  <colBreaks count="1" manualBreakCount="1">
    <brk id="4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8"/>
  <sheetViews>
    <sheetView topLeftCell="A8" workbookViewId="0">
      <selection activeCell="M28" sqref="M28"/>
    </sheetView>
  </sheetViews>
  <sheetFormatPr defaultColWidth="9" defaultRowHeight="14.4"/>
  <cols>
    <col min="2" max="2" width="26.6666666666667" customWidth="1"/>
    <col min="3" max="3" width="26.2222222222222" customWidth="1"/>
    <col min="4" max="4" width="9.88888888888889" customWidth="1"/>
    <col min="6" max="6" width="10.1111111111111" customWidth="1"/>
    <col min="8" max="8" width="9.88888888888889" customWidth="1"/>
    <col min="9" max="9" width="11.3333333333333" customWidth="1"/>
    <col min="10" max="10" width="16.6666666666667" customWidth="1"/>
    <col min="12" max="12" width="10.5555555555556" customWidth="1"/>
    <col min="13" max="13" width="11.5555555555556" customWidth="1"/>
  </cols>
  <sheetData>
    <row r="1" ht="15.15" spans="1:20">
      <c r="A1" s="1"/>
      <c r="B1" s="1"/>
      <c r="C1" s="1"/>
      <c r="D1" s="1"/>
      <c r="E1" s="1"/>
      <c r="F1" s="1"/>
      <c r="G1" s="1"/>
      <c r="H1" s="1"/>
      <c r="I1" s="1"/>
      <c r="J1" s="1"/>
    </row>
    <row r="2" ht="43.95" spans="1:20">
      <c r="A2" s="2"/>
      <c r="B2" s="3" t="s">
        <v>59</v>
      </c>
      <c r="C2" s="4"/>
      <c r="D2" s="5" t="s">
        <v>60</v>
      </c>
      <c r="E2" s="5" t="s">
        <v>61</v>
      </c>
      <c r="F2" s="5" t="s">
        <v>62</v>
      </c>
      <c r="G2" s="5" t="s">
        <v>63</v>
      </c>
      <c r="H2" s="6" t="s">
        <v>64</v>
      </c>
      <c r="I2" s="5" t="s">
        <v>65</v>
      </c>
      <c r="J2" s="7" t="s">
        <v>9</v>
      </c>
      <c r="M2" s="206">
        <v>0.05</v>
      </c>
    </row>
    <row r="3" spans="1:20">
      <c r="A3" s="8"/>
      <c r="B3" s="9"/>
      <c r="C3" s="10"/>
      <c r="D3" s="10"/>
      <c r="E3" s="10"/>
      <c r="F3" s="10"/>
      <c r="G3" s="10"/>
      <c r="H3" s="11"/>
      <c r="I3" s="10"/>
      <c r="J3" s="12"/>
    </row>
    <row r="4" spans="1:20">
      <c r="A4" s="13"/>
      <c r="B4" s="14"/>
      <c r="C4" s="15"/>
      <c r="D4" s="16"/>
      <c r="E4" s="16"/>
      <c r="F4" s="16"/>
      <c r="G4" s="16"/>
      <c r="H4" s="16"/>
      <c r="I4" s="16"/>
      <c r="J4" s="17"/>
      <c r="K4" s="18"/>
      <c r="L4" s="19"/>
      <c r="M4" s="19"/>
    </row>
    <row r="5" ht="18" spans="1:20">
      <c r="A5" s="13"/>
      <c r="B5" s="20" t="s">
        <v>66</v>
      </c>
      <c r="C5" s="21"/>
      <c r="D5" s="16"/>
      <c r="E5" s="16"/>
      <c r="F5" s="16"/>
      <c r="G5" s="16"/>
      <c r="H5" s="16"/>
      <c r="I5" s="16"/>
      <c r="J5" s="22"/>
      <c r="K5" s="18"/>
      <c r="L5" s="19"/>
      <c r="M5" s="19"/>
    </row>
    <row r="6" ht="15" spans="1:20">
      <c r="A6" s="13"/>
      <c r="B6" s="23" t="s">
        <v>67</v>
      </c>
      <c r="C6" s="15" t="s">
        <v>68</v>
      </c>
      <c r="D6" s="16">
        <v>3.5</v>
      </c>
      <c r="E6" s="16">
        <v>3</v>
      </c>
      <c r="F6" s="16">
        <f>D6*E6</f>
        <v>10.5</v>
      </c>
      <c r="G6" s="16">
        <v>1</v>
      </c>
      <c r="H6" s="16">
        <f>F6*G6</f>
        <v>10.5</v>
      </c>
      <c r="I6" s="16">
        <v>1500</v>
      </c>
      <c r="J6" s="24">
        <f>H6*I6</f>
        <v>15750</v>
      </c>
      <c r="K6" s="18"/>
      <c r="L6" s="19"/>
      <c r="M6" s="19"/>
    </row>
    <row r="7" ht="15" spans="1:20">
      <c r="A7" s="13"/>
      <c r="B7" s="25"/>
      <c r="C7" s="15" t="s">
        <v>69</v>
      </c>
      <c r="D7" s="16"/>
      <c r="E7" s="16"/>
      <c r="F7" s="16"/>
      <c r="G7" s="16">
        <v>2</v>
      </c>
      <c r="H7" s="16"/>
      <c r="I7" s="16">
        <v>3000</v>
      </c>
      <c r="J7" s="24">
        <f>G7*I7</f>
        <v>6000</v>
      </c>
      <c r="K7" s="18"/>
      <c r="L7" s="19"/>
      <c r="M7" s="19"/>
    </row>
    <row r="8" ht="15" spans="1:20">
      <c r="A8" s="13"/>
      <c r="B8" s="25"/>
      <c r="C8" s="15" t="s">
        <v>70</v>
      </c>
      <c r="D8" s="16">
        <v>1.5</v>
      </c>
      <c r="E8" s="16">
        <v>1.5</v>
      </c>
      <c r="F8" s="16">
        <f>D8*E8</f>
        <v>2.25</v>
      </c>
      <c r="G8" s="16">
        <v>1</v>
      </c>
      <c r="H8" s="16">
        <f>F8*G8</f>
        <v>2.25</v>
      </c>
      <c r="I8" s="16">
        <v>1250</v>
      </c>
      <c r="J8" s="24">
        <f>H8*I8</f>
        <v>2812.5</v>
      </c>
      <c r="K8" s="18"/>
      <c r="L8" s="207">
        <v>24563</v>
      </c>
      <c r="M8" s="207">
        <v>25791</v>
      </c>
    </row>
    <row r="9" ht="15" spans="1:20">
      <c r="A9" s="13"/>
      <c r="B9" s="25"/>
      <c r="C9" s="15" t="s">
        <v>71</v>
      </c>
      <c r="D9" s="16"/>
      <c r="E9" s="16"/>
      <c r="F9" s="16"/>
      <c r="G9" s="16"/>
      <c r="H9" s="16"/>
      <c r="I9" s="16" t="s">
        <v>72</v>
      </c>
      <c r="J9" s="24">
        <v>15000</v>
      </c>
      <c r="K9" s="18"/>
      <c r="L9" s="19"/>
      <c r="M9" s="19"/>
    </row>
    <row r="10" ht="15.15" spans="1:20">
      <c r="A10" s="13"/>
      <c r="B10" s="14"/>
      <c r="C10" s="15"/>
      <c r="D10" s="16"/>
      <c r="E10" s="16"/>
      <c r="F10" s="16"/>
      <c r="G10" s="16"/>
      <c r="H10" s="16"/>
      <c r="I10" s="16"/>
      <c r="J10" s="26"/>
      <c r="K10" s="18"/>
      <c r="L10" s="19"/>
      <c r="M10" s="19"/>
    </row>
    <row r="11" ht="18.75" spans="1:20">
      <c r="A11" s="13"/>
      <c r="B11" s="27" t="s">
        <v>25</v>
      </c>
      <c r="C11" s="28"/>
      <c r="D11" s="28"/>
      <c r="E11" s="29"/>
      <c r="F11" s="30"/>
      <c r="G11" s="29"/>
      <c r="H11" s="29"/>
      <c r="I11" s="29"/>
      <c r="J11" s="31"/>
      <c r="K11" s="18"/>
    </row>
    <row r="12" ht="15" spans="1:20">
      <c r="A12" s="13"/>
      <c r="B12" s="32" t="s">
        <v>73</v>
      </c>
      <c r="C12" s="33" t="s">
        <v>74</v>
      </c>
      <c r="D12" s="33"/>
      <c r="E12" s="33"/>
      <c r="F12" s="34"/>
      <c r="G12" s="33">
        <v>5</v>
      </c>
      <c r="H12" s="33"/>
      <c r="I12" s="33">
        <v>8000</v>
      </c>
      <c r="J12" s="35">
        <f t="shared" ref="J12" si="0">I12*G12</f>
        <v>40000</v>
      </c>
      <c r="K12" s="18"/>
      <c r="M12" s="33" t="s">
        <v>74</v>
      </c>
      <c r="N12" s="33"/>
      <c r="O12" s="33"/>
      <c r="P12" s="34"/>
      <c r="Q12" s="33">
        <v>5</v>
      </c>
      <c r="R12" s="33"/>
      <c r="S12" s="33">
        <v>8000</v>
      </c>
      <c r="T12" s="35">
        <f t="shared" ref="T12" si="1">S12*Q12</f>
        <v>40000</v>
      </c>
    </row>
    <row r="13" ht="15" spans="1:20">
      <c r="A13" s="13"/>
      <c r="B13" s="36" t="s">
        <v>75</v>
      </c>
      <c r="C13" s="37"/>
      <c r="D13" s="37"/>
      <c r="E13" s="37"/>
      <c r="F13" s="38"/>
      <c r="G13" s="37"/>
      <c r="H13" s="37"/>
      <c r="I13" s="37"/>
      <c r="J13" s="39"/>
      <c r="K13" s="18"/>
      <c r="M13" s="37"/>
      <c r="N13" s="37"/>
      <c r="O13" s="37"/>
      <c r="P13" s="38"/>
      <c r="Q13" s="37"/>
      <c r="R13" s="37"/>
      <c r="S13" s="37"/>
      <c r="T13" s="39"/>
    </row>
    <row r="14" ht="15" spans="1:20">
      <c r="A14" s="13"/>
      <c r="B14" s="36"/>
      <c r="C14" s="37" t="s">
        <v>76</v>
      </c>
      <c r="D14" s="37"/>
      <c r="E14" s="37"/>
      <c r="F14" s="38"/>
      <c r="G14" s="37">
        <v>48</v>
      </c>
      <c r="H14" s="37"/>
      <c r="I14" s="37">
        <v>1650</v>
      </c>
      <c r="J14" s="39">
        <f>G14*I14</f>
        <v>79200</v>
      </c>
      <c r="K14" s="18"/>
      <c r="M14" s="37" t="s">
        <v>76</v>
      </c>
      <c r="N14" s="37"/>
      <c r="O14" s="37"/>
      <c r="P14" s="38"/>
      <c r="Q14" s="37">
        <v>48</v>
      </c>
      <c r="R14" s="37"/>
      <c r="S14" s="37">
        <v>1700</v>
      </c>
      <c r="T14" s="39">
        <v>81600</v>
      </c>
    </row>
    <row r="15" ht="15" spans="1:20">
      <c r="A15" s="13"/>
      <c r="B15" s="36"/>
      <c r="C15" s="37" t="s">
        <v>77</v>
      </c>
      <c r="D15" s="37"/>
      <c r="E15" s="37"/>
      <c r="F15" s="38"/>
      <c r="G15" s="37">
        <v>1</v>
      </c>
      <c r="H15" s="37"/>
      <c r="I15" s="37">
        <v>7500</v>
      </c>
      <c r="J15" s="39">
        <f t="shared" ref="J15:J22" si="2">I15*G15</f>
        <v>7500</v>
      </c>
      <c r="K15" s="18"/>
      <c r="M15" s="37" t="s">
        <v>77</v>
      </c>
      <c r="N15" s="37"/>
      <c r="O15" s="37"/>
      <c r="P15" s="38"/>
      <c r="Q15" s="37">
        <v>1</v>
      </c>
      <c r="R15" s="37"/>
      <c r="S15" s="37">
        <v>7500</v>
      </c>
      <c r="T15" s="39">
        <f t="shared" ref="T15" si="3">S15*Q15</f>
        <v>7500</v>
      </c>
    </row>
    <row r="16" ht="15" spans="1:20">
      <c r="A16" s="13"/>
      <c r="B16" s="36"/>
      <c r="C16" s="37" t="s">
        <v>78</v>
      </c>
      <c r="D16" s="37"/>
      <c r="E16" s="37"/>
      <c r="F16" s="38"/>
      <c r="G16" s="37">
        <v>1</v>
      </c>
      <c r="H16" s="37"/>
      <c r="I16" s="37">
        <v>7000</v>
      </c>
      <c r="J16" s="39">
        <v>7000</v>
      </c>
      <c r="K16" s="18"/>
      <c r="M16" s="37" t="s">
        <v>78</v>
      </c>
      <c r="N16" s="37"/>
      <c r="O16" s="37"/>
      <c r="P16" s="38"/>
      <c r="Q16" s="37">
        <v>2</v>
      </c>
      <c r="R16" s="37"/>
      <c r="S16" s="37">
        <v>4000</v>
      </c>
      <c r="T16" s="39">
        <v>8000</v>
      </c>
    </row>
    <row r="17" ht="15" spans="1:20">
      <c r="A17" s="13"/>
      <c r="B17" s="36"/>
      <c r="C17" s="37" t="s">
        <v>79</v>
      </c>
      <c r="D17" s="37"/>
      <c r="E17" s="37"/>
      <c r="F17" s="38"/>
      <c r="G17" s="37">
        <v>1</v>
      </c>
      <c r="H17" s="37"/>
      <c r="I17" s="37">
        <v>5000</v>
      </c>
      <c r="J17" s="39">
        <v>5000</v>
      </c>
      <c r="K17" s="18"/>
      <c r="M17" s="37" t="s">
        <v>79</v>
      </c>
      <c r="N17" s="37"/>
      <c r="O17" s="39"/>
      <c r="P17" s="38"/>
      <c r="Q17" s="37"/>
      <c r="R17" s="37"/>
      <c r="S17" s="37">
        <v>5000</v>
      </c>
      <c r="T17" s="39">
        <v>5000</v>
      </c>
    </row>
    <row r="18" ht="15" spans="1:20">
      <c r="A18" s="13"/>
      <c r="B18" s="36"/>
      <c r="C18" s="37" t="s">
        <v>80</v>
      </c>
      <c r="D18" s="37"/>
      <c r="E18" s="37"/>
      <c r="F18" s="38"/>
      <c r="G18" s="37">
        <v>1</v>
      </c>
      <c r="H18" s="37"/>
      <c r="I18" s="37">
        <v>18000</v>
      </c>
      <c r="J18" s="39">
        <v>18000</v>
      </c>
      <c r="K18" s="18"/>
      <c r="M18" s="37" t="s">
        <v>80</v>
      </c>
      <c r="N18" s="37"/>
      <c r="O18" s="37"/>
      <c r="P18" s="38"/>
      <c r="Q18" s="37">
        <v>1</v>
      </c>
      <c r="R18" s="37"/>
      <c r="S18" s="37">
        <v>21000</v>
      </c>
      <c r="T18" s="39">
        <v>21000</v>
      </c>
    </row>
    <row r="19" ht="15" spans="1:20">
      <c r="A19" s="13"/>
      <c r="B19" s="36"/>
      <c r="C19" s="37" t="s">
        <v>81</v>
      </c>
      <c r="D19" s="37"/>
      <c r="E19" s="37"/>
      <c r="F19" s="38"/>
      <c r="G19" s="37">
        <v>1</v>
      </c>
      <c r="H19" s="37"/>
      <c r="I19" s="37">
        <v>27000</v>
      </c>
      <c r="J19" s="39">
        <v>27000</v>
      </c>
      <c r="K19" s="18"/>
      <c r="M19" s="37" t="s">
        <v>81</v>
      </c>
      <c r="N19" s="37"/>
      <c r="O19" s="37"/>
      <c r="P19" s="38"/>
      <c r="Q19" s="37">
        <v>1</v>
      </c>
      <c r="R19" s="37"/>
      <c r="S19" s="37">
        <v>36500</v>
      </c>
      <c r="T19" s="39">
        <v>36500</v>
      </c>
    </row>
    <row r="20" ht="15" spans="1:20">
      <c r="A20" s="13"/>
      <c r="B20" s="36"/>
      <c r="C20" s="37" t="s">
        <v>82</v>
      </c>
      <c r="D20" s="37"/>
      <c r="E20" s="37"/>
      <c r="F20" s="38"/>
      <c r="G20" s="37">
        <v>1</v>
      </c>
      <c r="H20" s="37"/>
      <c r="I20" s="37"/>
      <c r="J20" s="39">
        <v>4000</v>
      </c>
      <c r="K20" s="18"/>
      <c r="M20" s="37" t="s">
        <v>82</v>
      </c>
      <c r="N20" s="37"/>
      <c r="O20" s="37"/>
      <c r="P20" s="38"/>
      <c r="Q20" s="37">
        <v>1</v>
      </c>
      <c r="R20" s="37"/>
      <c r="S20" s="37"/>
      <c r="T20" s="39">
        <v>5835</v>
      </c>
    </row>
    <row r="21" ht="15" spans="1:20">
      <c r="A21" s="13"/>
      <c r="B21" s="36"/>
      <c r="C21" s="37" t="s">
        <v>83</v>
      </c>
      <c r="D21" s="37"/>
      <c r="E21" s="37"/>
      <c r="F21" s="38"/>
      <c r="G21" s="37">
        <v>1</v>
      </c>
      <c r="H21" s="37"/>
      <c r="I21" s="37">
        <v>25000</v>
      </c>
      <c r="J21" s="39">
        <v>25000</v>
      </c>
      <c r="K21" s="18"/>
      <c r="M21" s="37" t="s">
        <v>83</v>
      </c>
      <c r="N21" s="37"/>
      <c r="O21" s="37"/>
      <c r="P21" s="38"/>
      <c r="Q21" s="37">
        <v>1</v>
      </c>
      <c r="R21" s="37"/>
      <c r="S21" s="37"/>
      <c r="T21" s="39">
        <v>29500</v>
      </c>
    </row>
    <row r="22" ht="15.75" spans="1:20">
      <c r="A22" s="13"/>
      <c r="B22" s="36"/>
      <c r="C22" s="40" t="s">
        <v>84</v>
      </c>
      <c r="D22" s="40"/>
      <c r="E22" s="40"/>
      <c r="F22" s="41"/>
      <c r="G22" s="40">
        <v>1</v>
      </c>
      <c r="H22" s="40"/>
      <c r="I22" s="40">
        <v>7000</v>
      </c>
      <c r="J22" s="42">
        <f t="shared" si="2"/>
        <v>7000</v>
      </c>
      <c r="K22" s="18"/>
      <c r="M22" s="40" t="s">
        <v>84</v>
      </c>
      <c r="N22" s="40"/>
      <c r="O22" s="40"/>
      <c r="P22" s="41"/>
      <c r="Q22" s="40">
        <v>1</v>
      </c>
      <c r="R22" s="40"/>
      <c r="S22" s="40">
        <v>7000</v>
      </c>
      <c r="T22" s="42">
        <f t="shared" ref="T22" si="4">S22*Q22</f>
        <v>7000</v>
      </c>
    </row>
    <row r="23" ht="15" spans="1:20">
      <c r="A23" s="13"/>
      <c r="B23" s="36"/>
      <c r="C23" s="40"/>
      <c r="D23" s="40"/>
      <c r="E23" s="40"/>
      <c r="F23" s="41"/>
      <c r="G23" s="40"/>
      <c r="H23" s="40"/>
      <c r="I23" s="40"/>
      <c r="J23" s="43">
        <f>SUM(J12:J22)</f>
        <v>219700</v>
      </c>
      <c r="K23" s="18"/>
      <c r="M23" s="208"/>
      <c r="T23" s="209">
        <v>241935</v>
      </c>
    </row>
    <row r="24" ht="15" spans="1:20">
      <c r="A24" s="13"/>
      <c r="B24" s="36"/>
      <c r="C24" s="40"/>
      <c r="D24" s="40"/>
      <c r="E24" s="40"/>
      <c r="F24" s="41"/>
      <c r="G24" s="40"/>
      <c r="H24" s="40"/>
      <c r="I24" s="40"/>
      <c r="J24" s="210"/>
      <c r="K24" s="18"/>
    </row>
    <row r="25" ht="15" spans="1:20">
      <c r="A25" s="13"/>
      <c r="B25" s="36" t="s">
        <v>85</v>
      </c>
      <c r="C25" s="40" t="s">
        <v>86</v>
      </c>
      <c r="D25" s="16">
        <v>5</v>
      </c>
      <c r="E25" s="16">
        <v>2.7</v>
      </c>
      <c r="F25" s="16">
        <f>D25*E25</f>
        <v>13.5</v>
      </c>
      <c r="G25" s="16">
        <v>1</v>
      </c>
      <c r="H25" s="16">
        <f>F25*G25</f>
        <v>13.5</v>
      </c>
      <c r="I25" s="16">
        <v>1350</v>
      </c>
      <c r="J25" s="24">
        <f>H25*I25</f>
        <v>18225</v>
      </c>
      <c r="K25" s="18"/>
    </row>
    <row r="26" ht="15" spans="1:20">
      <c r="A26" s="13"/>
      <c r="B26" s="36"/>
      <c r="C26" s="40" t="s">
        <v>87</v>
      </c>
      <c r="D26" s="16">
        <v>2</v>
      </c>
      <c r="E26" s="16">
        <v>7</v>
      </c>
      <c r="F26" s="16">
        <v>14</v>
      </c>
      <c r="G26" s="16">
        <v>1</v>
      </c>
      <c r="H26" s="16">
        <v>14</v>
      </c>
      <c r="I26" s="16">
        <v>2125</v>
      </c>
      <c r="J26" s="24">
        <v>29750</v>
      </c>
      <c r="K26" s="18"/>
    </row>
    <row r="27" ht="15" spans="1:20">
      <c r="A27" s="13"/>
      <c r="B27" s="36"/>
      <c r="C27" s="40" t="s">
        <v>88</v>
      </c>
      <c r="D27" s="40">
        <v>5</v>
      </c>
      <c r="E27" s="40">
        <v>2</v>
      </c>
      <c r="F27" s="41">
        <v>10</v>
      </c>
      <c r="G27" s="40">
        <v>1</v>
      </c>
      <c r="H27" s="40">
        <v>10</v>
      </c>
      <c r="I27" s="40">
        <v>2125</v>
      </c>
      <c r="J27" s="210">
        <v>21250</v>
      </c>
      <c r="K27" s="18"/>
    </row>
    <row r="28" ht="15" spans="1:20">
      <c r="A28" s="13"/>
      <c r="B28" s="36"/>
      <c r="C28" s="37"/>
      <c r="D28" s="37"/>
      <c r="E28" s="37"/>
      <c r="F28" s="38"/>
      <c r="G28" s="37"/>
      <c r="H28" s="37"/>
      <c r="I28" s="37"/>
      <c r="J28" s="43">
        <v>69225</v>
      </c>
      <c r="K28" s="18"/>
      <c r="M28" s="208"/>
    </row>
    <row r="29" ht="15.6" spans="1:20">
      <c r="A29" s="13"/>
      <c r="B29" s="44"/>
      <c r="C29" s="15"/>
      <c r="D29" s="15"/>
      <c r="E29" s="15"/>
      <c r="F29" s="16"/>
      <c r="G29" s="15"/>
      <c r="H29" s="15"/>
      <c r="I29" s="45"/>
      <c r="J29" s="46"/>
      <c r="K29" s="18"/>
    </row>
    <row r="30" ht="15" spans="1:20">
      <c r="A30" s="13"/>
      <c r="B30" s="47"/>
      <c r="C30" s="48"/>
      <c r="D30" s="48"/>
      <c r="E30" s="48"/>
      <c r="F30" s="48"/>
      <c r="G30" s="48"/>
      <c r="H30" s="48"/>
      <c r="I30" s="16"/>
      <c r="J30" s="22"/>
      <c r="K30" s="18"/>
    </row>
    <row r="31" spans="1:20">
      <c r="A31" s="13"/>
      <c r="B31" s="49" t="s">
        <v>89</v>
      </c>
      <c r="C31" s="50" t="s">
        <v>90</v>
      </c>
      <c r="D31" s="51">
        <v>17</v>
      </c>
      <c r="E31" s="51">
        <v>2.8</v>
      </c>
      <c r="F31" s="18">
        <f>D31*E31</f>
        <v>47.6</v>
      </c>
      <c r="G31" s="51">
        <v>1</v>
      </c>
      <c r="H31" s="51">
        <f>SUM(F31*G31)</f>
        <v>47.6</v>
      </c>
      <c r="I31" s="51">
        <v>1290</v>
      </c>
      <c r="J31" s="52">
        <f>SUM(I31*H31)</f>
        <v>61404</v>
      </c>
      <c r="K31" s="18"/>
    </row>
    <row r="32" ht="15.15" spans="1:20">
      <c r="A32" s="13"/>
      <c r="B32" s="53" t="s">
        <v>91</v>
      </c>
      <c r="C32" s="54"/>
      <c r="D32" s="54"/>
      <c r="E32" s="54"/>
      <c r="F32" s="55"/>
      <c r="G32" s="54">
        <v>19.7</v>
      </c>
      <c r="H32" s="54"/>
      <c r="I32" s="54">
        <v>250</v>
      </c>
      <c r="J32" s="211">
        <f>G32*I32</f>
        <v>4925</v>
      </c>
      <c r="K32" s="18"/>
    </row>
    <row r="33" ht="15" spans="1:13">
      <c r="A33" s="13"/>
      <c r="B33" s="14"/>
      <c r="C33" s="51"/>
      <c r="D33" s="51"/>
      <c r="E33" s="51"/>
      <c r="F33" s="18"/>
      <c r="G33" s="51"/>
      <c r="H33" s="51"/>
      <c r="I33" s="51"/>
      <c r="J33" s="57">
        <f>SUM(J31:J32)</f>
        <v>66329</v>
      </c>
      <c r="K33" s="18"/>
      <c r="L33" s="19"/>
      <c r="M33" s="207">
        <v>69645</v>
      </c>
    </row>
    <row r="34" ht="15" spans="1:13">
      <c r="A34" s="13"/>
      <c r="B34" s="14"/>
      <c r="C34" s="51"/>
      <c r="D34" s="51"/>
      <c r="E34" s="51"/>
      <c r="F34" s="18"/>
      <c r="G34" s="51"/>
      <c r="H34" s="51"/>
      <c r="I34" s="51"/>
      <c r="J34" s="58"/>
      <c r="K34" s="18"/>
      <c r="L34" s="19"/>
      <c r="M34" s="19"/>
    </row>
    <row r="35" ht="15" spans="1:13">
      <c r="A35" s="13"/>
      <c r="B35" s="14"/>
      <c r="C35" s="51"/>
      <c r="D35" s="51"/>
      <c r="E35" s="51"/>
      <c r="F35" s="18"/>
      <c r="G35" s="51"/>
      <c r="H35" s="51"/>
      <c r="I35" s="51"/>
      <c r="J35" s="58"/>
      <c r="K35" s="18"/>
      <c r="L35" s="19"/>
      <c r="M35" s="19"/>
    </row>
    <row r="36" spans="1:13">
      <c r="A36" s="13"/>
      <c r="B36" s="59" t="s">
        <v>92</v>
      </c>
      <c r="C36" s="212" t="s">
        <v>93</v>
      </c>
      <c r="D36" s="15">
        <v>5.5</v>
      </c>
      <c r="E36" s="15">
        <v>2</v>
      </c>
      <c r="F36" s="16">
        <f>SUM(E36*D36)</f>
        <v>11</v>
      </c>
      <c r="G36" s="15">
        <v>1</v>
      </c>
      <c r="H36" s="15">
        <f>SUM(F36*G36)</f>
        <v>11</v>
      </c>
      <c r="I36" s="15">
        <v>2125</v>
      </c>
      <c r="J36" s="60">
        <f>SUM(I36*H36)</f>
        <v>23375</v>
      </c>
      <c r="K36" s="18"/>
      <c r="L36" s="19"/>
      <c r="M36" s="19"/>
    </row>
    <row r="37" spans="1:13">
      <c r="A37" s="13"/>
      <c r="B37" s="61" t="s">
        <v>94</v>
      </c>
      <c r="C37" s="45" t="s">
        <v>95</v>
      </c>
      <c r="D37" s="45"/>
      <c r="E37" s="45"/>
      <c r="F37" s="62">
        <v>9.7</v>
      </c>
      <c r="G37" s="45">
        <v>1</v>
      </c>
      <c r="H37" s="45">
        <f>F37*G37</f>
        <v>9.7</v>
      </c>
      <c r="I37" s="45">
        <v>250</v>
      </c>
      <c r="J37" s="63">
        <f>H37*I37</f>
        <v>2425</v>
      </c>
      <c r="K37" s="18"/>
      <c r="L37" s="19"/>
      <c r="M37" s="19"/>
    </row>
    <row r="38" ht="15" spans="1:13">
      <c r="A38" s="13"/>
      <c r="B38" s="64"/>
      <c r="C38" s="15"/>
      <c r="D38" s="15"/>
      <c r="E38" s="15"/>
      <c r="F38" s="16"/>
      <c r="G38" s="15"/>
      <c r="H38" s="15"/>
      <c r="I38" s="15"/>
      <c r="J38" s="57">
        <f>SUM(J36:J37)</f>
        <v>25800</v>
      </c>
      <c r="K38" s="18"/>
      <c r="L38" s="19"/>
      <c r="M38" s="207">
        <v>29670</v>
      </c>
    </row>
    <row r="39" ht="15" spans="1:13">
      <c r="A39" s="13"/>
      <c r="B39" s="64"/>
      <c r="C39" s="15"/>
      <c r="D39" s="15"/>
      <c r="E39" s="15"/>
      <c r="F39" s="16"/>
      <c r="G39" s="15"/>
      <c r="H39" s="15"/>
      <c r="I39" s="15"/>
      <c r="J39" s="58"/>
      <c r="K39" s="18"/>
      <c r="L39" s="19"/>
      <c r="M39" s="19"/>
    </row>
    <row r="40" spans="1:13">
      <c r="A40" s="13"/>
      <c r="B40" s="59" t="s">
        <v>96</v>
      </c>
      <c r="C40" s="15" t="s">
        <v>97</v>
      </c>
      <c r="D40" s="15">
        <v>14.5</v>
      </c>
      <c r="E40" s="15">
        <v>2</v>
      </c>
      <c r="F40" s="16">
        <f>SUM(E40*D40)</f>
        <v>29</v>
      </c>
      <c r="G40" s="15">
        <v>1</v>
      </c>
      <c r="H40" s="15">
        <f>SUM(F40*G40)</f>
        <v>29</v>
      </c>
      <c r="I40" s="15">
        <v>1850</v>
      </c>
      <c r="J40" s="60">
        <f>SUM(I40*H40)</f>
        <v>53650</v>
      </c>
      <c r="K40" s="18"/>
      <c r="L40" s="19"/>
      <c r="M40" s="19"/>
    </row>
    <row r="41" spans="1:13">
      <c r="A41" s="13"/>
      <c r="B41" s="61"/>
      <c r="C41" s="45" t="s">
        <v>95</v>
      </c>
      <c r="D41" s="45"/>
      <c r="E41" s="45"/>
      <c r="F41" s="62">
        <v>9.7</v>
      </c>
      <c r="G41" s="45">
        <v>1</v>
      </c>
      <c r="H41" s="45">
        <f>F41*G41</f>
        <v>9.7</v>
      </c>
      <c r="I41" s="45">
        <v>250</v>
      </c>
      <c r="J41" s="63">
        <f>H41*I41</f>
        <v>2425</v>
      </c>
      <c r="K41" s="18"/>
      <c r="L41" s="19"/>
      <c r="M41" s="19"/>
    </row>
    <row r="42" ht="15" spans="1:13">
      <c r="A42" s="65"/>
      <c r="B42" s="64"/>
      <c r="C42" s="15"/>
      <c r="D42" s="15"/>
      <c r="E42" s="15"/>
      <c r="F42" s="16"/>
      <c r="G42" s="15"/>
      <c r="H42" s="15"/>
      <c r="I42" s="15"/>
      <c r="J42" s="57">
        <f>SUM(J40:J41)</f>
        <v>56075</v>
      </c>
      <c r="K42" s="18"/>
      <c r="L42" s="19"/>
      <c r="M42" s="207">
        <v>58878</v>
      </c>
    </row>
    <row r="43" spans="1:13">
      <c r="A43" s="65"/>
      <c r="B43" s="59"/>
      <c r="C43" s="15"/>
      <c r="D43" s="15"/>
      <c r="E43" s="15"/>
      <c r="F43" s="16"/>
      <c r="G43" s="15"/>
      <c r="H43" s="15"/>
      <c r="I43" s="15"/>
      <c r="J43" s="60"/>
      <c r="K43" s="18"/>
      <c r="L43" s="19"/>
      <c r="M43" s="19"/>
    </row>
    <row r="44" spans="1:13">
      <c r="A44" s="65"/>
      <c r="B44" s="61"/>
      <c r="C44" s="45"/>
      <c r="D44" s="45"/>
      <c r="E44" s="45"/>
      <c r="F44" s="62"/>
      <c r="G44" s="45"/>
      <c r="H44" s="45"/>
      <c r="I44" s="45"/>
      <c r="J44" s="63"/>
      <c r="K44" s="18"/>
      <c r="L44" s="19"/>
      <c r="M44" s="19"/>
    </row>
    <row r="45" ht="15" spans="1:13">
      <c r="A45" s="65"/>
      <c r="B45" s="64"/>
      <c r="C45" s="15"/>
      <c r="D45" s="15"/>
      <c r="E45" s="15"/>
      <c r="F45" s="16"/>
      <c r="G45" s="15"/>
      <c r="H45" s="15"/>
      <c r="I45" s="15"/>
      <c r="J45" s="57"/>
      <c r="K45" s="18"/>
      <c r="L45" s="19"/>
      <c r="M45" s="19"/>
    </row>
    <row r="46" ht="15.75" spans="1:13">
      <c r="A46" s="65"/>
      <c r="B46" s="66"/>
      <c r="C46" s="67"/>
      <c r="D46" s="67"/>
      <c r="E46" s="67"/>
      <c r="F46" s="68"/>
      <c r="G46" s="67"/>
      <c r="H46" s="67"/>
      <c r="I46" s="67"/>
      <c r="J46" s="69"/>
      <c r="K46" s="18"/>
    </row>
    <row r="47" ht="18" spans="1:13">
      <c r="A47" s="13"/>
      <c r="B47" s="27" t="s">
        <v>98</v>
      </c>
      <c r="C47" s="28"/>
      <c r="D47" s="28"/>
      <c r="E47" s="70"/>
      <c r="F47" s="70"/>
      <c r="G47" s="70"/>
      <c r="H47" s="70"/>
      <c r="I47" s="70"/>
      <c r="J47" s="71"/>
      <c r="K47" s="18"/>
    </row>
    <row r="48" spans="1:13">
      <c r="A48" s="13"/>
      <c r="B48" s="14"/>
      <c r="C48" s="16"/>
      <c r="D48" s="16"/>
      <c r="E48" s="16"/>
      <c r="F48" s="16"/>
      <c r="G48" s="16"/>
      <c r="H48" s="16"/>
      <c r="I48" s="16"/>
      <c r="J48" s="22"/>
      <c r="K48" s="18"/>
    </row>
    <row r="49" ht="15.6" spans="1:13">
      <c r="A49" s="13"/>
      <c r="B49" s="72" t="s">
        <v>99</v>
      </c>
      <c r="C49" s="73" t="s">
        <v>100</v>
      </c>
      <c r="D49" s="62">
        <v>6</v>
      </c>
      <c r="E49" s="62">
        <v>6.9</v>
      </c>
      <c r="F49" s="62">
        <f>D49*E49</f>
        <v>41.4</v>
      </c>
      <c r="G49" s="62">
        <v>1</v>
      </c>
      <c r="H49" s="62">
        <f>F49*G49</f>
        <v>41.4</v>
      </c>
      <c r="I49" s="62"/>
      <c r="J49" s="74">
        <v>46000</v>
      </c>
      <c r="K49" s="18"/>
    </row>
    <row r="50" ht="15.6" spans="1:13">
      <c r="A50" s="13"/>
      <c r="B50" s="75" t="s">
        <v>101</v>
      </c>
      <c r="C50" s="73" t="s">
        <v>102</v>
      </c>
      <c r="D50" s="15">
        <v>5</v>
      </c>
      <c r="E50" s="15">
        <v>2</v>
      </c>
      <c r="F50" s="16"/>
      <c r="G50" s="15"/>
      <c r="H50" s="15"/>
      <c r="I50" s="15"/>
      <c r="J50" s="60">
        <v>9000</v>
      </c>
      <c r="K50" s="18"/>
    </row>
    <row r="51" ht="15.6" spans="1:13">
      <c r="A51" s="13"/>
      <c r="B51" s="75"/>
      <c r="C51" s="16"/>
      <c r="D51" s="16"/>
      <c r="E51" s="16"/>
      <c r="F51" s="16"/>
      <c r="G51" s="16"/>
      <c r="H51" s="16"/>
      <c r="I51" s="15"/>
      <c r="J51" s="22">
        <f>SUM(J49:J50)</f>
        <v>55000</v>
      </c>
      <c r="K51" s="18"/>
      <c r="M51" s="208">
        <v>57750</v>
      </c>
    </row>
    <row r="52" ht="15.6" spans="1:13">
      <c r="A52" s="13"/>
      <c r="B52" s="75"/>
      <c r="C52" s="16"/>
      <c r="D52" s="16"/>
      <c r="E52" s="16"/>
      <c r="F52" s="16"/>
      <c r="G52" s="16"/>
      <c r="H52" s="16"/>
      <c r="I52" s="15"/>
      <c r="J52" s="22"/>
      <c r="K52" s="18"/>
    </row>
    <row r="53" ht="15.6" spans="1:13">
      <c r="A53" s="13"/>
      <c r="B53" s="75"/>
      <c r="C53" s="73" t="s">
        <v>100</v>
      </c>
      <c r="D53" s="15">
        <v>5</v>
      </c>
      <c r="E53" s="15">
        <v>7</v>
      </c>
      <c r="F53" s="16">
        <f>D53*E53</f>
        <v>35</v>
      </c>
      <c r="G53" s="15">
        <v>1</v>
      </c>
      <c r="H53" s="15">
        <f>F53*G53</f>
        <v>35</v>
      </c>
      <c r="I53" s="15">
        <v>1750</v>
      </c>
      <c r="J53" s="60">
        <f>H53*I53</f>
        <v>61250</v>
      </c>
      <c r="K53" s="18"/>
    </row>
    <row r="54" ht="15" spans="1:13">
      <c r="A54" s="13"/>
      <c r="B54" s="78" t="s">
        <v>103</v>
      </c>
      <c r="C54" s="73" t="s">
        <v>100</v>
      </c>
      <c r="D54" s="15"/>
      <c r="E54" s="15"/>
      <c r="F54" s="16"/>
      <c r="G54" s="15"/>
      <c r="H54" s="15"/>
      <c r="I54" s="15"/>
      <c r="J54" s="60"/>
      <c r="K54" s="18"/>
    </row>
    <row r="55" ht="15.6" spans="1:13">
      <c r="A55" s="13"/>
      <c r="B55" s="75"/>
      <c r="C55" s="16" t="s">
        <v>104</v>
      </c>
      <c r="D55" s="16"/>
      <c r="E55" s="16"/>
      <c r="F55" s="16"/>
      <c r="G55" s="16">
        <v>1</v>
      </c>
      <c r="H55" s="16"/>
      <c r="I55" s="15"/>
      <c r="J55">
        <v>15000</v>
      </c>
      <c r="K55" s="18"/>
    </row>
    <row r="56" ht="15.6" spans="1:13">
      <c r="A56" s="13"/>
      <c r="B56" s="75"/>
      <c r="C56" s="16"/>
      <c r="D56" s="16"/>
      <c r="E56" s="16"/>
      <c r="F56" s="16"/>
      <c r="G56" s="16"/>
      <c r="H56" s="16"/>
      <c r="I56" s="15"/>
      <c r="J56" s="22">
        <v>78000</v>
      </c>
      <c r="K56" s="18"/>
      <c r="M56">
        <v>89700</v>
      </c>
    </row>
    <row r="57" ht="15.6" spans="1:13">
      <c r="A57" s="13"/>
      <c r="B57" s="75"/>
      <c r="C57" s="73" t="s">
        <v>100</v>
      </c>
      <c r="D57" s="15">
        <v>5</v>
      </c>
      <c r="E57" s="15">
        <v>7</v>
      </c>
      <c r="F57" s="16">
        <f>D57*E57</f>
        <v>35</v>
      </c>
      <c r="G57" s="15">
        <v>1</v>
      </c>
      <c r="H57" s="15">
        <f>F57*G57</f>
        <v>35</v>
      </c>
      <c r="I57" s="15">
        <v>1600</v>
      </c>
      <c r="J57" s="60">
        <f>H57*I57</f>
        <v>56000</v>
      </c>
      <c r="K57" s="18"/>
    </row>
    <row r="58" ht="15" spans="1:13">
      <c r="A58" s="13"/>
      <c r="B58" s="78" t="s">
        <v>105</v>
      </c>
      <c r="C58" s="73"/>
      <c r="D58" s="15"/>
      <c r="E58" s="15"/>
      <c r="F58" s="16"/>
      <c r="G58" s="15"/>
      <c r="H58" s="15"/>
      <c r="I58" s="15"/>
      <c r="J58" s="60">
        <f>H58*I58</f>
        <v>0</v>
      </c>
      <c r="K58" s="18"/>
    </row>
    <row r="59" ht="15.6" spans="1:13">
      <c r="A59" s="13"/>
      <c r="B59" s="75"/>
      <c r="C59" s="16"/>
      <c r="D59" s="16"/>
      <c r="E59" s="16"/>
      <c r="F59" s="16"/>
      <c r="G59" s="16"/>
      <c r="H59" s="16"/>
      <c r="I59" s="15"/>
      <c r="J59" s="22">
        <v>56000</v>
      </c>
      <c r="K59" s="18"/>
      <c r="L59" s="19"/>
      <c r="M59" s="207">
        <v>62658</v>
      </c>
    </row>
    <row r="60" ht="15.6" spans="1:13">
      <c r="A60" s="13"/>
      <c r="B60" s="75"/>
      <c r="C60" s="16"/>
      <c r="D60" s="16"/>
      <c r="E60" s="16"/>
      <c r="F60" s="16"/>
      <c r="G60" s="16"/>
      <c r="H60" s="16"/>
      <c r="I60" s="15"/>
      <c r="J60" s="22"/>
      <c r="K60" s="18"/>
      <c r="L60" s="19"/>
      <c r="M60" s="19"/>
    </row>
    <row r="61" ht="15.6" spans="1:13">
      <c r="A61" s="13"/>
      <c r="B61" s="75" t="s">
        <v>106</v>
      </c>
      <c r="C61" s="73" t="s">
        <v>100</v>
      </c>
      <c r="D61" s="15">
        <v>5</v>
      </c>
      <c r="E61" s="15">
        <v>2</v>
      </c>
      <c r="F61" s="16">
        <f>D61*E61</f>
        <v>10</v>
      </c>
      <c r="G61" s="15">
        <v>1</v>
      </c>
      <c r="H61" s="15">
        <f>F61*G61</f>
        <v>10</v>
      </c>
      <c r="I61" s="15">
        <v>1320</v>
      </c>
      <c r="J61" s="60">
        <f>H61*I61</f>
        <v>13200</v>
      </c>
      <c r="K61" s="18"/>
      <c r="L61" s="19"/>
      <c r="M61" s="19"/>
    </row>
    <row r="62" ht="15.6" spans="1:13">
      <c r="A62" s="13"/>
      <c r="B62" s="75"/>
      <c r="C62" s="213" t="s">
        <v>107</v>
      </c>
      <c r="D62" s="15">
        <v>2</v>
      </c>
      <c r="E62" s="15">
        <v>3</v>
      </c>
      <c r="F62" s="16">
        <v>6</v>
      </c>
      <c r="G62" s="15"/>
      <c r="H62" s="15"/>
      <c r="I62" s="15"/>
      <c r="J62" s="60">
        <v>5000</v>
      </c>
      <c r="K62" s="18"/>
      <c r="L62" s="19"/>
      <c r="M62" s="19"/>
    </row>
    <row r="63" ht="15.6" spans="1:13">
      <c r="A63" s="13"/>
      <c r="B63" s="75"/>
      <c r="C63" s="16"/>
      <c r="D63" s="16"/>
      <c r="E63" s="16"/>
      <c r="F63" s="16"/>
      <c r="G63" s="16"/>
      <c r="H63" s="16"/>
      <c r="I63" s="15"/>
      <c r="J63" s="22">
        <v>18200</v>
      </c>
      <c r="K63" s="18"/>
      <c r="M63" s="208">
        <v>19110</v>
      </c>
    </row>
    <row r="64" spans="1:13">
      <c r="A64" s="13"/>
      <c r="B64" s="59" t="s">
        <v>108</v>
      </c>
      <c r="C64" s="15" t="s">
        <v>109</v>
      </c>
      <c r="D64" s="15">
        <v>5</v>
      </c>
      <c r="E64" s="15">
        <v>2</v>
      </c>
      <c r="F64" s="16">
        <f>SUM(E64*D64)</f>
        <v>10</v>
      </c>
      <c r="G64" s="15">
        <v>2</v>
      </c>
      <c r="H64" s="15">
        <f>SUM(F64*G64)</f>
        <v>20</v>
      </c>
      <c r="I64" s="15">
        <v>1320</v>
      </c>
      <c r="J64" s="60">
        <f>SUM(I64*H64)</f>
        <v>26400</v>
      </c>
      <c r="K64" s="18"/>
    </row>
    <row r="65" spans="1:13">
      <c r="A65" s="13"/>
      <c r="B65" s="61"/>
      <c r="C65" s="45" t="s">
        <v>95</v>
      </c>
      <c r="D65" s="45"/>
      <c r="E65" s="45"/>
      <c r="F65" s="62">
        <v>6.6</v>
      </c>
      <c r="G65" s="45">
        <v>2</v>
      </c>
      <c r="H65" s="45">
        <f>F65*G65</f>
        <v>13.2</v>
      </c>
      <c r="I65" s="45">
        <v>250</v>
      </c>
      <c r="J65" s="63">
        <f>H65*I65</f>
        <v>3300</v>
      </c>
      <c r="K65" s="18"/>
    </row>
    <row r="66" ht="15" spans="1:13">
      <c r="A66" s="13"/>
      <c r="B66" s="64"/>
      <c r="C66" s="15"/>
      <c r="D66" s="15"/>
      <c r="E66" s="15"/>
      <c r="F66" s="16"/>
      <c r="G66" s="15"/>
      <c r="H66" s="15"/>
      <c r="I66" s="15"/>
      <c r="J66" s="57">
        <f>SUM(J64:J65)</f>
        <v>29700</v>
      </c>
      <c r="K66" s="18"/>
      <c r="M66" s="208">
        <v>64515</v>
      </c>
    </row>
    <row r="67" ht="15.6" spans="1:13">
      <c r="A67" s="13"/>
      <c r="B67" s="75"/>
      <c r="C67" s="16"/>
      <c r="D67" s="16"/>
      <c r="E67" s="16"/>
      <c r="F67" s="16"/>
      <c r="G67" s="16"/>
      <c r="H67" s="16"/>
      <c r="I67" s="15"/>
      <c r="J67" s="22"/>
      <c r="K67" s="18"/>
    </row>
    <row r="68" ht="15" spans="1:13">
      <c r="A68" s="13"/>
      <c r="B68" s="79" t="s">
        <v>110</v>
      </c>
      <c r="C68" s="73" t="s">
        <v>111</v>
      </c>
      <c r="D68" s="62">
        <v>3</v>
      </c>
      <c r="E68" s="62">
        <v>2</v>
      </c>
      <c r="F68" s="62">
        <f>D68*E68</f>
        <v>6</v>
      </c>
      <c r="G68" s="62">
        <v>1</v>
      </c>
      <c r="H68" s="62">
        <f>F68*G68</f>
        <v>6</v>
      </c>
      <c r="I68" s="45">
        <v>1050</v>
      </c>
      <c r="J68" s="80">
        <f>H68*I68</f>
        <v>6300</v>
      </c>
      <c r="K68" s="18"/>
      <c r="L68" s="19"/>
      <c r="M68" s="207">
        <v>15802</v>
      </c>
    </row>
    <row r="69" spans="1:13">
      <c r="A69" s="13"/>
      <c r="B69" s="14"/>
      <c r="C69" s="15" t="s">
        <v>112</v>
      </c>
      <c r="D69" s="16">
        <v>2.5</v>
      </c>
      <c r="E69" s="16">
        <v>2</v>
      </c>
      <c r="F69" s="16">
        <v>5</v>
      </c>
      <c r="G69" s="16">
        <v>1</v>
      </c>
      <c r="H69" s="16">
        <v>5</v>
      </c>
      <c r="I69" s="16">
        <v>1732</v>
      </c>
      <c r="J69" s="24">
        <v>8750</v>
      </c>
      <c r="K69" s="18"/>
    </row>
    <row r="70" spans="1:13">
      <c r="A70" s="13"/>
      <c r="B70" s="14"/>
      <c r="C70" s="15"/>
      <c r="D70" s="16"/>
      <c r="E70" s="16"/>
      <c r="F70" s="16"/>
      <c r="G70" s="16"/>
      <c r="H70" s="16"/>
      <c r="I70" s="16"/>
      <c r="J70" s="22">
        <f>SUM(J68:J69)</f>
        <v>15050</v>
      </c>
      <c r="K70" s="18"/>
    </row>
    <row r="71" spans="1:13">
      <c r="A71" s="13"/>
      <c r="B71" s="14"/>
      <c r="C71" s="16"/>
      <c r="D71" s="16"/>
      <c r="E71" s="16"/>
      <c r="F71" s="16"/>
      <c r="G71" s="16"/>
      <c r="H71" s="16"/>
      <c r="I71" s="15"/>
      <c r="J71" s="22"/>
      <c r="K71" s="18"/>
    </row>
    <row r="72" spans="1:13">
      <c r="A72" s="13"/>
      <c r="B72" s="14"/>
      <c r="C72" s="16"/>
      <c r="D72" s="16"/>
      <c r="E72" s="16"/>
      <c r="F72" s="16"/>
      <c r="G72" s="16"/>
      <c r="H72" s="16"/>
      <c r="I72" s="15"/>
      <c r="J72" s="22"/>
      <c r="K72" s="18"/>
    </row>
    <row r="73" spans="1:13">
      <c r="A73" s="13"/>
      <c r="B73" s="59" t="s">
        <v>113</v>
      </c>
      <c r="C73" s="15" t="s">
        <v>114</v>
      </c>
      <c r="D73" s="15">
        <v>3</v>
      </c>
      <c r="E73" s="15">
        <v>2</v>
      </c>
      <c r="F73" s="16">
        <f>SUM(E73*D73)</f>
        <v>6</v>
      </c>
      <c r="G73" s="15">
        <v>1</v>
      </c>
      <c r="H73" s="15">
        <f>SUM(F73*G73)</f>
        <v>6</v>
      </c>
      <c r="I73" s="15">
        <v>1595</v>
      </c>
      <c r="J73" s="60">
        <f>SUM(I73*H73)</f>
        <v>9570</v>
      </c>
      <c r="K73" s="18"/>
    </row>
    <row r="74" ht="15.15" spans="1:13">
      <c r="A74" s="13"/>
      <c r="B74" s="61"/>
      <c r="C74" s="45" t="s">
        <v>95</v>
      </c>
      <c r="D74" s="45"/>
      <c r="E74" s="45"/>
      <c r="F74" s="62">
        <v>2.3</v>
      </c>
      <c r="G74" s="45">
        <v>1</v>
      </c>
      <c r="H74" s="45">
        <f>F74*G74</f>
        <v>2.3</v>
      </c>
      <c r="I74" s="45">
        <v>250</v>
      </c>
      <c r="J74" s="63">
        <f>H74*I74</f>
        <v>575</v>
      </c>
      <c r="K74" s="18"/>
    </row>
    <row r="75" ht="18" spans="1:13">
      <c r="A75" s="13"/>
      <c r="B75" s="27" t="s">
        <v>115</v>
      </c>
      <c r="C75" s="28"/>
      <c r="D75" s="28"/>
      <c r="E75" s="15"/>
      <c r="F75" s="16"/>
      <c r="G75" s="15"/>
      <c r="H75" s="15"/>
      <c r="I75" s="15"/>
      <c r="J75" s="22">
        <f>SUM(J73:J74)</f>
        <v>10145</v>
      </c>
      <c r="K75" s="18"/>
      <c r="M75" s="208">
        <v>10652</v>
      </c>
    </row>
    <row r="76" ht="15" spans="1:13">
      <c r="A76" s="13"/>
      <c r="B76" s="64"/>
      <c r="C76" s="15"/>
      <c r="D76" s="15"/>
      <c r="E76" s="15"/>
      <c r="F76" s="16"/>
      <c r="G76" s="15"/>
      <c r="H76" s="15"/>
      <c r="I76" s="15"/>
      <c r="J76" s="58"/>
      <c r="K76" s="18"/>
    </row>
    <row r="77" ht="15.6" spans="1:13">
      <c r="A77" s="13"/>
      <c r="B77" s="72" t="s">
        <v>116</v>
      </c>
      <c r="C77" s="73" t="s">
        <v>100</v>
      </c>
      <c r="D77" s="62">
        <v>6</v>
      </c>
      <c r="E77" s="62">
        <v>6.5</v>
      </c>
      <c r="F77" s="62">
        <f>D77*E77</f>
        <v>39</v>
      </c>
      <c r="G77" s="62">
        <v>1</v>
      </c>
      <c r="H77" s="62">
        <f>F77*G77</f>
        <v>39</v>
      </c>
      <c r="I77" s="62"/>
      <c r="J77" s="74">
        <v>75000</v>
      </c>
      <c r="K77" s="18"/>
    </row>
    <row r="78" ht="15.6" spans="1:13">
      <c r="A78" s="13"/>
      <c r="B78" s="75" t="s">
        <v>101</v>
      </c>
      <c r="C78" s="73" t="s">
        <v>117</v>
      </c>
      <c r="D78" s="15">
        <v>18</v>
      </c>
      <c r="E78" s="15">
        <v>1</v>
      </c>
      <c r="F78" s="16">
        <v>18</v>
      </c>
      <c r="G78" s="15"/>
      <c r="H78" s="15">
        <v>18</v>
      </c>
      <c r="I78" s="15"/>
      <c r="J78" s="60">
        <v>11700</v>
      </c>
      <c r="K78" s="18"/>
    </row>
    <row r="79" ht="15.6" spans="1:13">
      <c r="A79" s="13"/>
      <c r="B79" s="75"/>
      <c r="C79" s="16"/>
      <c r="D79" s="16"/>
      <c r="E79" s="16"/>
      <c r="F79" s="16"/>
      <c r="G79" s="16"/>
      <c r="H79" s="16"/>
      <c r="I79" s="15"/>
      <c r="J79" s="22">
        <f>SUM(J77:J78)</f>
        <v>86700</v>
      </c>
      <c r="K79" s="18"/>
      <c r="M79" s="208">
        <v>91050</v>
      </c>
    </row>
    <row r="80" ht="15.6" spans="1:13">
      <c r="A80" s="13"/>
      <c r="B80" s="75"/>
      <c r="C80" s="16"/>
      <c r="D80" s="16"/>
      <c r="E80" s="16"/>
      <c r="F80" s="16"/>
      <c r="G80" s="16"/>
      <c r="H80" s="16"/>
      <c r="I80" s="15"/>
      <c r="J80" s="22"/>
      <c r="K80" s="18"/>
    </row>
    <row r="81" ht="15.6" spans="1:13">
      <c r="A81" s="13"/>
      <c r="B81" s="75"/>
      <c r="C81" s="76"/>
      <c r="D81" s="77"/>
      <c r="E81" s="77"/>
      <c r="F81" s="65"/>
      <c r="G81" s="77"/>
      <c r="H81" s="77"/>
      <c r="I81" s="77"/>
      <c r="J81" s="60"/>
      <c r="K81" s="18"/>
    </row>
    <row r="82" ht="15.6" spans="1:13">
      <c r="A82" s="13"/>
      <c r="B82" s="75"/>
      <c r="C82" s="45"/>
      <c r="D82" s="45"/>
      <c r="E82" s="45"/>
      <c r="F82" s="62"/>
      <c r="G82" s="45"/>
      <c r="H82" s="45"/>
      <c r="I82" s="45"/>
      <c r="J82" s="63"/>
      <c r="K82" s="18"/>
    </row>
    <row r="83" ht="15.6" spans="1:13">
      <c r="A83" s="13"/>
      <c r="B83" s="75"/>
      <c r="C83" s="16"/>
      <c r="D83" s="16"/>
      <c r="E83" s="16"/>
      <c r="F83" s="16"/>
      <c r="G83" s="16"/>
      <c r="H83" s="16"/>
      <c r="I83" s="15"/>
      <c r="J83" s="22">
        <f>SUM(J81:J82)</f>
        <v>0</v>
      </c>
      <c r="K83" s="18"/>
    </row>
    <row r="84" ht="15" spans="1:13">
      <c r="A84" s="13"/>
      <c r="B84" s="78" t="s">
        <v>118</v>
      </c>
      <c r="C84" s="73" t="s">
        <v>100</v>
      </c>
      <c r="D84" s="15">
        <v>4</v>
      </c>
      <c r="E84" s="15">
        <v>7</v>
      </c>
      <c r="F84" s="16">
        <f>D84*E84</f>
        <v>28</v>
      </c>
      <c r="G84" s="15">
        <v>1</v>
      </c>
      <c r="H84" s="15">
        <f>F84*G84</f>
        <v>28</v>
      </c>
      <c r="I84" s="15">
        <v>1705</v>
      </c>
      <c r="J84" s="60">
        <f>H84*I84</f>
        <v>47740</v>
      </c>
      <c r="K84" s="18"/>
    </row>
    <row r="85" ht="15.6" spans="1:13">
      <c r="A85" s="13"/>
      <c r="B85" s="75"/>
      <c r="C85" s="16"/>
      <c r="D85" s="16"/>
      <c r="E85" s="16"/>
      <c r="F85" s="16"/>
      <c r="G85" s="16"/>
      <c r="H85" s="16"/>
      <c r="I85" s="15"/>
      <c r="J85" s="22">
        <f>SUM(J84:J84)</f>
        <v>47740</v>
      </c>
      <c r="K85" s="18"/>
      <c r="M85" s="208">
        <v>50127</v>
      </c>
    </row>
    <row r="86" ht="15.6" spans="1:13">
      <c r="A86" s="13"/>
      <c r="B86" s="75"/>
      <c r="C86" s="16"/>
      <c r="D86" s="16"/>
      <c r="E86" s="16"/>
      <c r="F86" s="16"/>
      <c r="G86" s="16"/>
      <c r="H86" s="16"/>
      <c r="I86" s="15"/>
      <c r="J86" s="22"/>
      <c r="K86" s="18"/>
    </row>
    <row r="87" spans="1:13">
      <c r="A87" s="13"/>
      <c r="B87" s="59" t="s">
        <v>108</v>
      </c>
      <c r="C87" s="15" t="s">
        <v>109</v>
      </c>
      <c r="D87" s="15">
        <v>10</v>
      </c>
      <c r="E87" s="15">
        <v>2</v>
      </c>
      <c r="F87" s="16">
        <f>SUM(E87*D87)</f>
        <v>20</v>
      </c>
      <c r="G87" s="15">
        <v>1</v>
      </c>
      <c r="H87" s="15">
        <f>SUM(F87*G87)</f>
        <v>20</v>
      </c>
      <c r="I87" s="15">
        <v>1250</v>
      </c>
      <c r="J87" s="60">
        <f>SUM(I87*H87)</f>
        <v>25000</v>
      </c>
      <c r="K87" s="18"/>
    </row>
    <row r="88" spans="1:13">
      <c r="A88" s="51"/>
      <c r="B88" s="61"/>
      <c r="C88" s="45" t="s">
        <v>95</v>
      </c>
      <c r="D88" s="45"/>
      <c r="E88" s="45"/>
      <c r="F88" s="62">
        <v>6.6</v>
      </c>
      <c r="G88" s="45">
        <v>1</v>
      </c>
      <c r="H88" s="45">
        <f>F88*G88</f>
        <v>6.6</v>
      </c>
      <c r="I88" s="45">
        <v>250</v>
      </c>
      <c r="J88" s="63">
        <f>H88*I88</f>
        <v>1650</v>
      </c>
      <c r="K88" s="18"/>
    </row>
    <row r="89" ht="15" spans="1:13">
      <c r="B89" s="64"/>
      <c r="C89" s="15"/>
      <c r="D89" s="15"/>
      <c r="E89" s="15"/>
      <c r="F89" s="16"/>
      <c r="G89" s="15"/>
      <c r="H89" s="15"/>
      <c r="I89" s="15"/>
      <c r="J89" s="57">
        <f>SUM(J87:J88)</f>
        <v>26650</v>
      </c>
      <c r="M89" s="208">
        <v>26015</v>
      </c>
    </row>
    <row r="90" ht="15.6" spans="1:13">
      <c r="B90" s="75"/>
      <c r="C90" s="16"/>
      <c r="D90" s="16"/>
      <c r="E90" s="16"/>
      <c r="F90" s="16"/>
      <c r="G90" s="16"/>
      <c r="H90" s="16"/>
      <c r="I90" s="15"/>
      <c r="J90" s="22"/>
    </row>
    <row r="91" ht="15" spans="1:13">
      <c r="B91" s="79"/>
      <c r="C91" s="73"/>
      <c r="D91" s="62"/>
      <c r="E91" s="62"/>
      <c r="F91" s="62"/>
      <c r="G91" s="62"/>
      <c r="H91" s="62"/>
      <c r="I91" s="45"/>
      <c r="J91" s="80"/>
      <c r="K91" s="16"/>
      <c r="L91" s="18"/>
    </row>
    <row r="92" spans="1:13">
      <c r="B92" s="14"/>
      <c r="C92" s="15"/>
      <c r="D92" s="16"/>
      <c r="E92" s="16"/>
      <c r="F92" s="16"/>
      <c r="G92" s="16"/>
      <c r="H92" s="16"/>
      <c r="I92" s="16"/>
      <c r="J92" s="24"/>
      <c r="K92" s="87"/>
      <c r="L92" s="18"/>
    </row>
    <row r="93" spans="1:13">
      <c r="B93" s="14"/>
      <c r="C93" s="16"/>
      <c r="D93" s="16"/>
      <c r="E93" s="16"/>
      <c r="F93" s="16"/>
      <c r="G93" s="16"/>
      <c r="H93" s="16"/>
      <c r="I93" s="15"/>
      <c r="J93" s="22"/>
    </row>
    <row r="94" spans="1:13">
      <c r="B94" s="14"/>
      <c r="C94" s="16"/>
      <c r="D94" s="16"/>
      <c r="E94" s="16"/>
      <c r="F94" s="16"/>
      <c r="G94" s="16"/>
      <c r="H94" s="16"/>
      <c r="I94" s="15"/>
      <c r="J94" s="22"/>
    </row>
    <row r="95" spans="1:13">
      <c r="B95" s="59" t="s">
        <v>119</v>
      </c>
      <c r="C95" s="15" t="s">
        <v>114</v>
      </c>
      <c r="D95" s="15">
        <v>3</v>
      </c>
      <c r="E95" s="15">
        <v>5</v>
      </c>
      <c r="F95" s="16">
        <f>SUM(E95*D95)</f>
        <v>15</v>
      </c>
      <c r="G95" s="15">
        <v>1</v>
      </c>
      <c r="H95" s="15">
        <f>SUM(F95*G95)</f>
        <v>15</v>
      </c>
      <c r="I95" s="15">
        <v>1575</v>
      </c>
      <c r="J95" s="60">
        <f>SUM(I95*H95)</f>
        <v>23625</v>
      </c>
    </row>
    <row r="96" spans="1:13">
      <c r="B96" s="61"/>
      <c r="C96" s="45" t="s">
        <v>95</v>
      </c>
      <c r="D96" s="45"/>
      <c r="E96" s="45"/>
      <c r="F96" s="62">
        <v>2.3</v>
      </c>
      <c r="G96" s="45">
        <v>1</v>
      </c>
      <c r="H96" s="45">
        <f>F96*G96</f>
        <v>2.3</v>
      </c>
      <c r="I96" s="45">
        <v>250</v>
      </c>
      <c r="J96" s="63">
        <f>H96*I96</f>
        <v>575</v>
      </c>
    </row>
    <row r="97" spans="2:13">
      <c r="J97" s="22">
        <f>SUM(J95:J96)</f>
        <v>24200</v>
      </c>
      <c r="M97" s="208">
        <v>27830</v>
      </c>
    </row>
    <row r="99" spans="2:13">
      <c r="B99" s="14"/>
      <c r="C99" s="15"/>
      <c r="D99" s="16"/>
      <c r="E99" s="16"/>
      <c r="F99" s="16"/>
      <c r="G99" s="16"/>
      <c r="H99" s="16"/>
      <c r="I99" s="16"/>
      <c r="J99" s="24"/>
    </row>
    <row r="100" spans="2:13">
      <c r="B100" s="14"/>
      <c r="C100" s="16"/>
      <c r="D100" s="16"/>
      <c r="E100" s="16"/>
      <c r="F100" s="16"/>
      <c r="G100" s="16"/>
      <c r="H100" s="16"/>
      <c r="I100" s="15"/>
      <c r="J100" s="22"/>
    </row>
    <row r="101" spans="2:13">
      <c r="B101" s="14" t="s">
        <v>120</v>
      </c>
      <c r="C101" s="15" t="s">
        <v>121</v>
      </c>
      <c r="D101" s="16">
        <v>3</v>
      </c>
      <c r="E101" s="16">
        <v>3</v>
      </c>
      <c r="F101" s="16">
        <v>9</v>
      </c>
      <c r="G101" s="16">
        <v>1</v>
      </c>
      <c r="H101" s="16">
        <v>9</v>
      </c>
      <c r="I101" s="15">
        <v>1045</v>
      </c>
      <c r="J101" s="60">
        <f>SUM(I101*H101)</f>
        <v>9405</v>
      </c>
    </row>
    <row r="102" spans="2:13">
      <c r="B102" s="14"/>
      <c r="C102" s="15" t="s">
        <v>122</v>
      </c>
      <c r="D102" s="15">
        <v>3</v>
      </c>
      <c r="E102" s="15">
        <v>3</v>
      </c>
      <c r="F102" s="16">
        <f>SUM(E102*D102)</f>
        <v>9</v>
      </c>
      <c r="G102" s="15">
        <v>1</v>
      </c>
      <c r="H102" s="15">
        <f>SUM(F102*G102)</f>
        <v>9</v>
      </c>
      <c r="I102" s="15">
        <v>1375</v>
      </c>
      <c r="J102" s="60">
        <f>SUM(I102*H102)</f>
        <v>12375</v>
      </c>
    </row>
    <row r="103" spans="2:13">
      <c r="B103" s="14"/>
      <c r="C103" s="15"/>
      <c r="D103" s="15"/>
      <c r="E103" s="15"/>
      <c r="F103" s="16"/>
      <c r="G103" s="15"/>
      <c r="H103" s="15"/>
      <c r="I103" s="15"/>
      <c r="J103" s="22">
        <f>SUM(J100:J102)</f>
        <v>21780</v>
      </c>
      <c r="M103" s="208">
        <v>22869</v>
      </c>
    </row>
    <row r="104" spans="2:13">
      <c r="B104" s="59" t="s">
        <v>123</v>
      </c>
      <c r="C104" s="15" t="s">
        <v>114</v>
      </c>
      <c r="D104" s="15">
        <v>2.5</v>
      </c>
      <c r="E104" s="15">
        <v>2</v>
      </c>
      <c r="F104" s="16">
        <f>SUM(E104*D104)</f>
        <v>5</v>
      </c>
      <c r="G104" s="15">
        <v>2</v>
      </c>
      <c r="H104" s="15">
        <f>SUM(F104*G104)</f>
        <v>10</v>
      </c>
      <c r="I104" s="15">
        <v>1450</v>
      </c>
      <c r="J104" s="60">
        <f>SUM(I104*H104)</f>
        <v>14500</v>
      </c>
    </row>
    <row r="105" spans="2:13">
      <c r="B105" s="59"/>
      <c r="C105" s="15" t="s">
        <v>124</v>
      </c>
      <c r="D105" s="15"/>
      <c r="E105" s="15"/>
      <c r="F105" s="16"/>
      <c r="G105" s="15">
        <v>2</v>
      </c>
      <c r="H105" s="15"/>
      <c r="I105" s="15">
        <v>1800</v>
      </c>
      <c r="J105" s="60">
        <v>3600</v>
      </c>
    </row>
    <row r="106" spans="2:13">
      <c r="B106" s="59"/>
      <c r="C106" s="45" t="s">
        <v>125</v>
      </c>
      <c r="D106" s="45">
        <v>2</v>
      </c>
      <c r="E106" s="45">
        <v>2</v>
      </c>
      <c r="F106" s="62">
        <v>4</v>
      </c>
      <c r="G106" s="45">
        <v>2</v>
      </c>
      <c r="H106" s="45">
        <v>8</v>
      </c>
      <c r="I106" s="45">
        <v>1250</v>
      </c>
      <c r="J106" s="63">
        <f>H106*I106</f>
        <v>10000</v>
      </c>
    </row>
    <row r="107" spans="2:13">
      <c r="B107" s="61"/>
      <c r="J107" s="22">
        <f>SUM(J104:J106)</f>
        <v>28100</v>
      </c>
      <c r="M107" s="208">
        <v>29505</v>
      </c>
    </row>
    <row r="108" spans="2:13">
      <c r="L108">
        <v>0</v>
      </c>
    </row>
  </sheetData>
  <mergeCells count="4">
    <mergeCell ref="B2:C2"/>
    <mergeCell ref="B11:D11"/>
    <mergeCell ref="B47:D47"/>
    <mergeCell ref="B75:D75"/>
  </mergeCells>
  <pageMargins left="0.458661417" right="0" top="0.25" bottom="0" header="0.31496062992126" footer="0.31496062992126"/>
  <pageSetup paperSize="9" scale="80" orientation="landscape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zoomScaleSheetLayoutView="90" topLeftCell="A15" workbookViewId="0">
      <selection activeCell="F8" sqref="F8"/>
    </sheetView>
  </sheetViews>
  <sheetFormatPr defaultColWidth="9" defaultRowHeight="15.6" outlineLevelCol="7"/>
  <cols>
    <col min="1" max="1" width="6.66666666666667" style="92" customWidth="1"/>
    <col min="2" max="2" width="59.1111111111111" customWidth="1"/>
    <col min="3" max="3" width="8.88888888888889" style="93" customWidth="1"/>
    <col min="4" max="4" width="16.1111111111111" style="93" customWidth="1"/>
    <col min="5" max="5" width="14.5555555555556" customWidth="1"/>
    <col min="6" max="6" width="16.1111111111111" customWidth="1"/>
    <col min="8" max="8" width="12.4444444444444" customWidth="1"/>
  </cols>
  <sheetData>
    <row r="1" s="88" customFormat="1" ht="20.25" customHeight="1" spans="1:8">
      <c r="A1" s="94" t="s">
        <v>126</v>
      </c>
      <c r="B1" s="95"/>
      <c r="C1" s="95"/>
      <c r="D1" s="96"/>
    </row>
    <row r="2" s="89" customFormat="1" ht="15.15" spans="1:8">
      <c r="A2" s="97" t="s">
        <v>1</v>
      </c>
      <c r="B2" s="98"/>
      <c r="C2" s="98"/>
      <c r="D2" s="99"/>
    </row>
    <row r="3" s="90" customFormat="1" ht="15.75" customHeight="1" spans="1:8">
      <c r="A3" s="100"/>
      <c r="B3" s="101" t="s">
        <v>2</v>
      </c>
      <c r="C3" s="102" t="s">
        <v>127</v>
      </c>
      <c r="D3" s="103"/>
    </row>
    <row r="4" ht="15" spans="1:8">
      <c r="A4" s="104"/>
      <c r="B4" s="105"/>
      <c r="C4" s="106"/>
      <c r="D4" s="107"/>
    </row>
    <row r="5" ht="15" spans="1:8">
      <c r="A5" s="104"/>
      <c r="B5" s="108" t="s">
        <v>4</v>
      </c>
      <c r="C5" s="109"/>
      <c r="D5" s="110"/>
    </row>
    <row r="6" ht="15" spans="1:8">
      <c r="A6" s="104"/>
      <c r="B6" s="111" t="s">
        <v>128</v>
      </c>
      <c r="C6" s="109"/>
      <c r="D6" s="110"/>
    </row>
    <row r="7" ht="15" spans="1:8">
      <c r="A7" s="104"/>
      <c r="B7" s="111" t="s">
        <v>129</v>
      </c>
      <c r="C7" s="109"/>
      <c r="D7" s="110"/>
    </row>
    <row r="8" ht="17.4" spans="1:8">
      <c r="A8" s="104"/>
      <c r="B8" s="112"/>
      <c r="C8" s="109"/>
      <c r="D8" s="110"/>
    </row>
    <row r="9" ht="31.8" customHeight="1" spans="1:8">
      <c r="A9" s="113" t="s">
        <v>5</v>
      </c>
      <c r="B9" s="114"/>
      <c r="C9" s="114"/>
      <c r="D9" s="115"/>
    </row>
    <row r="10" ht="15.75" spans="1:8">
      <c r="A10" s="116"/>
      <c r="B10" s="117"/>
      <c r="C10" s="118"/>
      <c r="D10" s="119"/>
      <c r="F10" t="s">
        <v>130</v>
      </c>
      <c r="H10" t="s">
        <v>131</v>
      </c>
    </row>
    <row r="11" s="91" customFormat="1" ht="15.75" spans="1:8">
      <c r="A11" s="120" t="s">
        <v>6</v>
      </c>
      <c r="B11" s="120" t="s">
        <v>7</v>
      </c>
      <c r="C11" s="121" t="s">
        <v>8</v>
      </c>
      <c r="D11" s="122" t="s">
        <v>9</v>
      </c>
    </row>
    <row r="12" s="91" customFormat="1" ht="18.15" spans="1:8">
      <c r="A12" s="123"/>
      <c r="B12" s="124" t="s">
        <v>132</v>
      </c>
      <c r="C12" s="125"/>
      <c r="D12" s="126"/>
      <c r="F12" s="126"/>
      <c r="H12" s="127">
        <f t="shared" ref="H12:H13" si="0">F12*7.5%+F12</f>
        <v>0</v>
      </c>
    </row>
    <row r="13" s="91" customFormat="1" ht="15" spans="1:8">
      <c r="A13" s="128" t="s">
        <v>11</v>
      </c>
      <c r="B13" s="129" t="s">
        <v>133</v>
      </c>
      <c r="C13" s="120"/>
      <c r="D13" s="130"/>
      <c r="F13" s="130"/>
      <c r="H13" s="127">
        <f t="shared" si="0"/>
        <v>0</v>
      </c>
    </row>
    <row r="14" s="91" customFormat="1" ht="15" spans="1:8">
      <c r="A14" s="131"/>
      <c r="B14" s="132" t="s">
        <v>134</v>
      </c>
      <c r="C14" s="133">
        <v>1</v>
      </c>
      <c r="D14" s="134">
        <f>H14</f>
        <v>36515.7</v>
      </c>
      <c r="F14" s="134">
        <v>31210</v>
      </c>
      <c r="H14" s="127">
        <f>F14*17%+F14</f>
        <v>36515.7</v>
      </c>
    </row>
    <row r="15" s="91" customFormat="1" ht="45.75" spans="1:8">
      <c r="A15" s="135"/>
      <c r="B15" s="136" t="s">
        <v>135</v>
      </c>
      <c r="C15" s="137"/>
      <c r="D15" s="134"/>
      <c r="F15" s="134"/>
      <c r="H15" s="127">
        <f t="shared" ref="H15:H55" si="1">F15*17%+F15</f>
        <v>0</v>
      </c>
    </row>
    <row r="16" s="91" customFormat="1" ht="18.15" spans="1:8">
      <c r="A16" s="123"/>
      <c r="B16" s="124" t="s">
        <v>25</v>
      </c>
      <c r="C16" s="125"/>
      <c r="D16" s="126"/>
      <c r="F16" s="126"/>
      <c r="H16" s="127">
        <f t="shared" si="1"/>
        <v>0</v>
      </c>
    </row>
    <row r="17" s="91" customFormat="1" ht="15" spans="1:8">
      <c r="A17" s="138" t="s">
        <v>12</v>
      </c>
      <c r="B17" s="129" t="s">
        <v>136</v>
      </c>
      <c r="C17" s="129"/>
      <c r="D17" s="129"/>
      <c r="F17" s="129"/>
      <c r="H17" s="127">
        <f t="shared" si="1"/>
        <v>0</v>
      </c>
    </row>
    <row r="18" s="91" customFormat="1" ht="36.6" customHeight="1" spans="1:8">
      <c r="A18" s="139"/>
      <c r="B18" s="140" t="s">
        <v>137</v>
      </c>
      <c r="C18" s="141">
        <v>1</v>
      </c>
      <c r="D18" s="142">
        <f>H18</f>
        <v>219375</v>
      </c>
      <c r="F18" s="142">
        <v>187500</v>
      </c>
      <c r="H18" s="127">
        <f t="shared" si="1"/>
        <v>219375</v>
      </c>
    </row>
    <row r="19" s="91" customFormat="1" ht="15" spans="1:8">
      <c r="A19" s="138" t="s">
        <v>15</v>
      </c>
      <c r="B19" s="129" t="s">
        <v>138</v>
      </c>
      <c r="C19" s="143"/>
      <c r="D19" s="144"/>
      <c r="F19" s="144"/>
      <c r="H19" s="127">
        <f t="shared" si="1"/>
        <v>0</v>
      </c>
    </row>
    <row r="20" s="91" customFormat="1" ht="15" spans="1:8">
      <c r="A20" s="131"/>
      <c r="B20" s="132" t="s">
        <v>139</v>
      </c>
      <c r="C20" s="145"/>
      <c r="D20" s="134"/>
      <c r="F20" s="134"/>
      <c r="H20" s="127">
        <f t="shared" si="1"/>
        <v>0</v>
      </c>
    </row>
    <row r="21" s="91" customFormat="1" ht="15" spans="1:8">
      <c r="A21" s="131"/>
      <c r="B21" s="132" t="s">
        <v>140</v>
      </c>
      <c r="C21" s="132"/>
      <c r="D21" s="132"/>
      <c r="F21" s="132"/>
      <c r="H21" s="127">
        <f t="shared" si="1"/>
        <v>0</v>
      </c>
    </row>
    <row r="22" s="91" customFormat="1" ht="18.6" customHeight="1" spans="1:8">
      <c r="A22" s="139"/>
      <c r="B22" s="146" t="s">
        <v>141</v>
      </c>
      <c r="C22" s="141">
        <v>1</v>
      </c>
      <c r="D22" s="142">
        <f>H22</f>
        <v>65002.86</v>
      </c>
      <c r="F22" s="142">
        <v>55558</v>
      </c>
      <c r="H22" s="127">
        <f t="shared" si="1"/>
        <v>65002.86</v>
      </c>
    </row>
    <row r="23" s="91" customFormat="1" ht="16.5" customHeight="1" spans="1:8">
      <c r="A23" s="138" t="s">
        <v>17</v>
      </c>
      <c r="B23" s="129" t="s">
        <v>142</v>
      </c>
      <c r="C23" s="143"/>
      <c r="D23" s="143"/>
      <c r="F23" s="143"/>
      <c r="H23" s="127">
        <f t="shared" si="1"/>
        <v>0</v>
      </c>
    </row>
    <row r="24" s="91" customFormat="1" ht="16.5" customHeight="1" spans="1:8">
      <c r="A24" s="131"/>
      <c r="B24" s="132" t="s">
        <v>143</v>
      </c>
      <c r="C24" s="132"/>
      <c r="D24" s="132"/>
      <c r="F24" s="132"/>
      <c r="H24" s="127">
        <f t="shared" si="1"/>
        <v>0</v>
      </c>
    </row>
    <row r="25" s="91" customFormat="1" ht="40.2" customHeight="1" spans="1:8">
      <c r="A25" s="139"/>
      <c r="B25" s="147" t="s">
        <v>144</v>
      </c>
      <c r="C25" s="141">
        <v>1</v>
      </c>
      <c r="D25" s="142">
        <f>H25</f>
        <v>48964.5</v>
      </c>
      <c r="F25" s="142">
        <v>41850</v>
      </c>
      <c r="H25" s="127">
        <f t="shared" si="1"/>
        <v>48964.5</v>
      </c>
    </row>
    <row r="26" s="91" customFormat="1" ht="15" spans="1:8">
      <c r="A26" s="138" t="s">
        <v>18</v>
      </c>
      <c r="B26" s="129" t="s">
        <v>145</v>
      </c>
      <c r="C26" s="143"/>
      <c r="D26" s="143"/>
      <c r="F26" s="143"/>
      <c r="H26" s="127">
        <f t="shared" si="1"/>
        <v>0</v>
      </c>
    </row>
    <row r="27" s="91" customFormat="1" ht="15" spans="1:8">
      <c r="A27" s="131"/>
      <c r="B27" s="132" t="s">
        <v>143</v>
      </c>
      <c r="C27" s="132"/>
      <c r="D27" s="132"/>
      <c r="F27" s="132"/>
      <c r="H27" s="127">
        <f t="shared" si="1"/>
        <v>0</v>
      </c>
    </row>
    <row r="28" s="91" customFormat="1" ht="30" spans="1:8">
      <c r="A28" s="131"/>
      <c r="B28" s="148" t="s">
        <v>146</v>
      </c>
      <c r="C28" s="141">
        <v>1</v>
      </c>
      <c r="D28" s="142">
        <f>H28</f>
        <v>32098.95</v>
      </c>
      <c r="F28" s="142">
        <v>27435</v>
      </c>
      <c r="H28" s="127">
        <f t="shared" si="1"/>
        <v>32098.95</v>
      </c>
    </row>
    <row r="29" s="91" customFormat="1" ht="15" spans="1:8">
      <c r="A29" s="138" t="s">
        <v>19</v>
      </c>
      <c r="B29" s="129" t="s">
        <v>147</v>
      </c>
      <c r="C29" s="143"/>
      <c r="D29" s="143"/>
      <c r="F29" s="143"/>
      <c r="H29" s="127">
        <f t="shared" si="1"/>
        <v>0</v>
      </c>
    </row>
    <row r="30" s="91" customFormat="1" ht="15" spans="1:8">
      <c r="A30" s="131"/>
      <c r="B30" s="132" t="s">
        <v>148</v>
      </c>
      <c r="C30" s="132"/>
      <c r="D30" s="132"/>
      <c r="F30" s="132"/>
      <c r="H30" s="127">
        <f t="shared" si="1"/>
        <v>0</v>
      </c>
    </row>
    <row r="31" s="91" customFormat="1" ht="45" spans="1:8">
      <c r="A31" s="139"/>
      <c r="B31" s="147" t="s">
        <v>149</v>
      </c>
      <c r="C31" s="141">
        <v>1</v>
      </c>
      <c r="D31" s="142">
        <f>H31</f>
        <v>37586.25</v>
      </c>
      <c r="F31" s="142">
        <v>32125</v>
      </c>
      <c r="H31" s="127">
        <f t="shared" si="1"/>
        <v>37586.25</v>
      </c>
    </row>
    <row r="32" s="91" customFormat="1" ht="15" spans="1:8">
      <c r="A32" s="138" t="s">
        <v>20</v>
      </c>
      <c r="B32" s="129" t="s">
        <v>150</v>
      </c>
      <c r="C32" s="143"/>
      <c r="D32" s="143"/>
      <c r="F32" s="143"/>
      <c r="H32" s="127">
        <f t="shared" si="1"/>
        <v>0</v>
      </c>
    </row>
    <row r="33" s="91" customFormat="1" ht="15" spans="1:8">
      <c r="A33" s="131"/>
      <c r="B33" s="132" t="s">
        <v>148</v>
      </c>
      <c r="C33" s="132"/>
      <c r="D33" s="132"/>
      <c r="F33" s="132"/>
      <c r="H33" s="127">
        <f t="shared" si="1"/>
        <v>0</v>
      </c>
    </row>
    <row r="34" s="91" customFormat="1" ht="30" spans="1:8">
      <c r="A34" s="131"/>
      <c r="B34" s="148" t="s">
        <v>146</v>
      </c>
      <c r="C34" s="141">
        <v>1</v>
      </c>
      <c r="D34" s="142">
        <f>H39</f>
        <v>22779.9</v>
      </c>
      <c r="F34" s="149"/>
      <c r="H34" s="127"/>
    </row>
    <row r="35" s="91" customFormat="1" ht="15" spans="1:8">
      <c r="A35" s="138" t="s">
        <v>21</v>
      </c>
      <c r="B35" s="129" t="s">
        <v>151</v>
      </c>
      <c r="C35" s="143"/>
      <c r="D35" s="143"/>
      <c r="F35" s="149"/>
      <c r="H35" s="127"/>
    </row>
    <row r="36" s="91" customFormat="1" ht="15" spans="1:8">
      <c r="A36" s="131"/>
      <c r="B36" s="132" t="s">
        <v>152</v>
      </c>
      <c r="C36" s="132"/>
      <c r="D36" s="132"/>
      <c r="F36" s="149"/>
      <c r="H36" s="127"/>
    </row>
    <row r="37" s="91" customFormat="1" ht="45" spans="1:8">
      <c r="A37" s="139"/>
      <c r="B37" s="147" t="s">
        <v>153</v>
      </c>
      <c r="C37" s="141">
        <v>1</v>
      </c>
      <c r="D37" s="142">
        <v>9149</v>
      </c>
      <c r="F37" s="149"/>
      <c r="H37" s="127"/>
    </row>
    <row r="38" s="91" customFormat="1" ht="15" spans="1:8">
      <c r="A38" s="131"/>
      <c r="B38" s="132"/>
      <c r="C38" s="132"/>
      <c r="D38" s="149"/>
      <c r="F38" s="149"/>
      <c r="H38" s="127"/>
    </row>
    <row r="39" s="91" customFormat="1" ht="15.75" spans="1:8">
      <c r="F39" s="142">
        <v>19470</v>
      </c>
      <c r="H39" s="127">
        <f t="shared" si="1"/>
        <v>22779.9</v>
      </c>
    </row>
    <row r="40" s="91" customFormat="1" ht="18.15" spans="1:8">
      <c r="A40" s="123"/>
      <c r="B40" s="150" t="s">
        <v>98</v>
      </c>
      <c r="C40" s="125"/>
      <c r="D40" s="126"/>
      <c r="F40" s="126"/>
      <c r="H40" s="127">
        <f t="shared" si="1"/>
        <v>0</v>
      </c>
    </row>
    <row r="41" s="91" customFormat="1" ht="15" spans="1:8">
      <c r="A41" s="128" t="s">
        <v>21</v>
      </c>
      <c r="B41" s="129" t="s">
        <v>154</v>
      </c>
      <c r="C41" s="151"/>
      <c r="D41" s="130"/>
      <c r="F41" s="130"/>
      <c r="H41" s="127">
        <f t="shared" si="1"/>
        <v>0</v>
      </c>
    </row>
    <row r="42" s="91" customFormat="1" ht="15" spans="1:8">
      <c r="A42" s="131"/>
      <c r="B42" s="132" t="s">
        <v>155</v>
      </c>
      <c r="C42" s="152"/>
      <c r="D42" s="134"/>
      <c r="F42" s="134"/>
      <c r="H42" s="127">
        <f t="shared" si="1"/>
        <v>0</v>
      </c>
    </row>
    <row r="43" s="91" customFormat="1" ht="27.6" spans="1:8">
      <c r="A43" s="153"/>
      <c r="B43" s="154" t="s">
        <v>156</v>
      </c>
      <c r="C43" s="135">
        <v>1</v>
      </c>
      <c r="D43" s="142">
        <f>H43</f>
        <v>60372</v>
      </c>
      <c r="F43" s="142">
        <v>51600</v>
      </c>
      <c r="H43" s="127">
        <f t="shared" si="1"/>
        <v>60372</v>
      </c>
    </row>
    <row r="44" s="91" customFormat="1" ht="15" spans="1:8">
      <c r="A44" s="138" t="s">
        <v>22</v>
      </c>
      <c r="B44" s="129" t="s">
        <v>157</v>
      </c>
      <c r="C44" s="143"/>
      <c r="D44" s="134"/>
      <c r="F44" s="134"/>
      <c r="H44" s="127">
        <f t="shared" si="1"/>
        <v>0</v>
      </c>
    </row>
    <row r="45" s="91" customFormat="1" ht="15" spans="1:8">
      <c r="A45" s="155"/>
      <c r="B45" s="132" t="s">
        <v>158</v>
      </c>
      <c r="C45" s="133"/>
      <c r="D45" s="156"/>
      <c r="F45" s="156"/>
      <c r="H45" s="127">
        <f t="shared" si="1"/>
        <v>0</v>
      </c>
    </row>
    <row r="46" s="91" customFormat="1" ht="34.8" customHeight="1" spans="1:8">
      <c r="A46" s="153"/>
      <c r="B46" s="157" t="s">
        <v>159</v>
      </c>
      <c r="C46" s="135">
        <v>2</v>
      </c>
      <c r="D46" s="158">
        <f>H46</f>
        <v>17447.04</v>
      </c>
      <c r="F46" s="158">
        <v>14912</v>
      </c>
      <c r="H46" s="127">
        <f t="shared" si="1"/>
        <v>17447.04</v>
      </c>
    </row>
    <row r="47" s="91" customFormat="1" ht="15" spans="1:8">
      <c r="A47" s="131" t="s">
        <v>23</v>
      </c>
      <c r="B47" s="159" t="s">
        <v>160</v>
      </c>
      <c r="C47" s="145"/>
      <c r="D47" s="134"/>
      <c r="F47" s="134"/>
      <c r="H47" s="127">
        <f t="shared" si="1"/>
        <v>0</v>
      </c>
    </row>
    <row r="48" s="91" customFormat="1" ht="15" spans="1:8">
      <c r="A48" s="155"/>
      <c r="B48" s="132" t="s">
        <v>161</v>
      </c>
      <c r="C48" s="160"/>
      <c r="D48" s="134"/>
      <c r="F48" s="134"/>
      <c r="H48" s="127">
        <f t="shared" si="1"/>
        <v>0</v>
      </c>
    </row>
    <row r="49" s="91" customFormat="1" ht="46.8" customHeight="1" spans="1:8">
      <c r="A49" s="155"/>
      <c r="B49" s="157" t="s">
        <v>162</v>
      </c>
      <c r="C49" s="135">
        <v>1</v>
      </c>
      <c r="D49" s="142">
        <f>H49</f>
        <v>83783.7</v>
      </c>
      <c r="F49" s="142">
        <v>71610</v>
      </c>
      <c r="H49" s="127">
        <f t="shared" si="1"/>
        <v>83783.7</v>
      </c>
    </row>
    <row r="50" s="91" customFormat="1" ht="15" spans="1:8">
      <c r="A50" s="138" t="s">
        <v>24</v>
      </c>
      <c r="B50" s="129" t="s">
        <v>163</v>
      </c>
      <c r="C50" s="143"/>
      <c r="D50" s="161"/>
      <c r="F50" s="161"/>
      <c r="H50" s="127">
        <f t="shared" si="1"/>
        <v>0</v>
      </c>
    </row>
    <row r="51" s="91" customFormat="1" ht="15" spans="1:8">
      <c r="A51" s="155"/>
      <c r="B51" s="132" t="s">
        <v>164</v>
      </c>
      <c r="C51" s="133"/>
      <c r="D51" s="134"/>
      <c r="F51" s="134"/>
      <c r="H51" s="127">
        <f t="shared" si="1"/>
        <v>0</v>
      </c>
    </row>
    <row r="52" s="91" customFormat="1" ht="33" customHeight="1" spans="1:8">
      <c r="A52" s="153"/>
      <c r="B52" s="157" t="s">
        <v>165</v>
      </c>
      <c r="C52" s="135">
        <v>1</v>
      </c>
      <c r="D52" s="158">
        <f>H52</f>
        <v>20077.2</v>
      </c>
      <c r="F52" s="158">
        <v>17160</v>
      </c>
      <c r="H52" s="127">
        <f t="shared" si="1"/>
        <v>20077.2</v>
      </c>
    </row>
    <row r="53" s="91" customFormat="1" ht="15" spans="1:8">
      <c r="A53" s="138" t="s">
        <v>26</v>
      </c>
      <c r="B53" s="129" t="s">
        <v>166</v>
      </c>
      <c r="C53" s="143"/>
      <c r="D53" s="161"/>
      <c r="F53" s="161"/>
      <c r="H53" s="127">
        <f t="shared" si="1"/>
        <v>0</v>
      </c>
    </row>
    <row r="54" s="91" customFormat="1" ht="15" spans="1:8">
      <c r="A54" s="131"/>
      <c r="B54" s="132" t="s">
        <v>167</v>
      </c>
      <c r="C54" s="145"/>
      <c r="D54" s="134"/>
      <c r="F54" s="134"/>
      <c r="H54" s="127">
        <f t="shared" si="1"/>
        <v>0</v>
      </c>
    </row>
    <row r="55" s="91" customFormat="1" ht="34.8" customHeight="1" spans="1:8">
      <c r="A55" s="153"/>
      <c r="B55" s="157" t="s">
        <v>168</v>
      </c>
      <c r="C55" s="135">
        <v>1</v>
      </c>
      <c r="D55" s="162">
        <f>H55</f>
        <v>14683.5</v>
      </c>
      <c r="F55" s="162">
        <v>12550</v>
      </c>
      <c r="H55" s="127">
        <f t="shared" si="1"/>
        <v>14683.5</v>
      </c>
    </row>
    <row r="56" s="91" customFormat="1" ht="18" customHeight="1" spans="1:8">
      <c r="A56" s="163"/>
      <c r="B56" s="150" t="s">
        <v>169</v>
      </c>
      <c r="C56" s="125"/>
      <c r="D56" s="164"/>
      <c r="F56" s="164"/>
      <c r="H56" s="127">
        <f t="shared" ref="H56:H65" si="2">F56*7%+F56</f>
        <v>0</v>
      </c>
    </row>
    <row r="57" s="91" customFormat="1" ht="16.5" customHeight="1" spans="1:8">
      <c r="A57" s="131" t="s">
        <v>27</v>
      </c>
      <c r="B57" s="159" t="s">
        <v>170</v>
      </c>
      <c r="C57" s="156"/>
      <c r="D57" s="134" t="s">
        <v>171</v>
      </c>
      <c r="F57" s="134"/>
      <c r="H57" s="127">
        <f t="shared" si="2"/>
        <v>0</v>
      </c>
    </row>
    <row r="58" s="91" customFormat="1" ht="16.5" customHeight="1" spans="1:8">
      <c r="A58" s="131"/>
      <c r="B58" s="159"/>
      <c r="C58" s="156"/>
      <c r="D58" s="134"/>
      <c r="F58" s="134"/>
      <c r="H58" s="127">
        <f t="shared" si="2"/>
        <v>0</v>
      </c>
    </row>
    <row r="59" s="91" customFormat="1" ht="16.5" customHeight="1" spans="1:8">
      <c r="A59" s="131" t="s">
        <v>28</v>
      </c>
      <c r="B59" s="159" t="s">
        <v>172</v>
      </c>
      <c r="C59" s="156"/>
      <c r="D59" s="134" t="s">
        <v>171</v>
      </c>
      <c r="F59" s="134"/>
      <c r="H59" s="127">
        <f t="shared" si="2"/>
        <v>0</v>
      </c>
    </row>
    <row r="60" s="91" customFormat="1" ht="32.4" customHeight="1" spans="1:8">
      <c r="A60" s="131"/>
      <c r="B60" s="157" t="s">
        <v>173</v>
      </c>
      <c r="C60" s="156"/>
      <c r="D60" s="134"/>
      <c r="F60" s="134"/>
      <c r="H60" s="127">
        <f t="shared" si="2"/>
        <v>0</v>
      </c>
    </row>
    <row r="61" s="91" customFormat="1" ht="16.5" customHeight="1" spans="1:8">
      <c r="A61" s="165"/>
      <c r="B61" s="166" t="s">
        <v>174</v>
      </c>
      <c r="C61" s="165"/>
      <c r="D61" s="167"/>
      <c r="F61" s="167"/>
      <c r="H61" s="127">
        <f t="shared" si="2"/>
        <v>0</v>
      </c>
    </row>
    <row r="62" s="91" customFormat="1" ht="16.5" customHeight="1" spans="1:8">
      <c r="A62" s="168" t="s">
        <v>29</v>
      </c>
      <c r="B62" s="169" t="s">
        <v>175</v>
      </c>
      <c r="C62" s="170" t="s">
        <v>176</v>
      </c>
      <c r="D62" s="171">
        <f>H62</f>
        <v>67760</v>
      </c>
      <c r="F62" s="171">
        <v>61600</v>
      </c>
      <c r="H62" s="127">
        <f>F62*10%+F62</f>
        <v>67760</v>
      </c>
    </row>
    <row r="63" s="91" customFormat="1" ht="16.5" customHeight="1" spans="1:8">
      <c r="A63" s="131"/>
      <c r="B63" s="172" t="s">
        <v>177</v>
      </c>
      <c r="C63" s="170" t="s">
        <v>176</v>
      </c>
      <c r="D63" s="173">
        <v>15000</v>
      </c>
      <c r="F63" s="173"/>
      <c r="H63" s="127">
        <f t="shared" si="2"/>
        <v>0</v>
      </c>
    </row>
    <row r="64" s="91" customFormat="1" ht="16.5" customHeight="1" spans="1:8">
      <c r="A64" s="131"/>
      <c r="B64" s="132" t="s">
        <v>178</v>
      </c>
      <c r="C64" s="156"/>
      <c r="D64" s="134"/>
      <c r="F64" s="134"/>
      <c r="H64" s="127">
        <f t="shared" si="2"/>
        <v>0</v>
      </c>
    </row>
    <row r="65" ht="15.75" spans="1:8">
      <c r="A65" s="174"/>
      <c r="B65" s="175" t="s">
        <v>41</v>
      </c>
      <c r="C65" s="176"/>
      <c r="D65" s="177">
        <f>SUM(D12:D64)</f>
        <v>750595.6</v>
      </c>
      <c r="F65" s="177">
        <f>SUM(F12:F64)</f>
        <v>624580</v>
      </c>
      <c r="H65" s="127">
        <f t="shared" si="2"/>
        <v>668300.6</v>
      </c>
    </row>
    <row r="66" ht="15.75" spans="1:8">
      <c r="A66" s="174"/>
      <c r="B66" s="175" t="s">
        <v>179</v>
      </c>
      <c r="C66" s="176"/>
      <c r="D66" s="177">
        <v>6000</v>
      </c>
      <c r="F66" s="177"/>
      <c r="H66" s="127"/>
    </row>
    <row r="67" ht="15.75" spans="1:8">
      <c r="A67" s="174"/>
      <c r="B67" s="175" t="s">
        <v>180</v>
      </c>
      <c r="C67" s="176"/>
      <c r="D67" s="178">
        <f>D65*18%</f>
        <v>135107.208</v>
      </c>
      <c r="F67" s="178">
        <f>F65*18%</f>
        <v>112424.4</v>
      </c>
      <c r="H67" s="127"/>
    </row>
    <row r="68" ht="18.15" spans="1:8">
      <c r="A68" s="179"/>
      <c r="B68" s="180" t="s">
        <v>181</v>
      </c>
      <c r="C68" s="181"/>
      <c r="D68" s="182">
        <f>SUM(D65:D67)</f>
        <v>891702.808</v>
      </c>
      <c r="F68" s="182">
        <f>SUM(F65:F67)</f>
        <v>737004.4</v>
      </c>
      <c r="H68" s="127"/>
    </row>
    <row r="69" ht="17.4" spans="1:8">
      <c r="A69" s="183"/>
      <c r="B69" s="184"/>
      <c r="C69" s="185"/>
      <c r="D69" s="186"/>
    </row>
    <row r="70" spans="1:8">
      <c r="A70" s="187"/>
      <c r="B70" s="188" t="s">
        <v>47</v>
      </c>
      <c r="C70" s="189"/>
      <c r="D70" s="190"/>
    </row>
    <row r="71" spans="1:8">
      <c r="A71" s="13" t="s">
        <v>11</v>
      </c>
      <c r="B71" s="191" t="s">
        <v>48</v>
      </c>
      <c r="C71" s="192"/>
      <c r="D71" s="193"/>
    </row>
    <row r="72" spans="1:8">
      <c r="A72" s="13" t="s">
        <v>12</v>
      </c>
      <c r="B72" s="191" t="s">
        <v>49</v>
      </c>
      <c r="C72" s="194"/>
      <c r="D72" s="195"/>
    </row>
    <row r="73" spans="1:8">
      <c r="A73" s="13" t="s">
        <v>15</v>
      </c>
      <c r="B73" s="191" t="s">
        <v>182</v>
      </c>
      <c r="C73" s="194"/>
      <c r="D73" s="195"/>
    </row>
    <row r="74" spans="1:8">
      <c r="A74" s="13" t="s">
        <v>17</v>
      </c>
      <c r="B74" s="196" t="s">
        <v>51</v>
      </c>
      <c r="C74" s="194"/>
      <c r="D74" s="195"/>
    </row>
    <row r="75" spans="1:8">
      <c r="A75" s="13" t="s">
        <v>18</v>
      </c>
      <c r="B75" s="197" t="s">
        <v>183</v>
      </c>
      <c r="C75" s="194"/>
      <c r="D75" s="195"/>
    </row>
    <row r="76" ht="31.2" spans="1:8">
      <c r="A76" s="198" t="s">
        <v>19</v>
      </c>
      <c r="B76" s="199" t="s">
        <v>54</v>
      </c>
      <c r="C76" s="194"/>
      <c r="D76" s="195"/>
    </row>
    <row r="77" spans="1:8">
      <c r="A77" s="198" t="s">
        <v>20</v>
      </c>
      <c r="B77" s="200" t="s">
        <v>55</v>
      </c>
      <c r="C77" s="194"/>
      <c r="D77" s="195"/>
    </row>
    <row r="78" spans="1:8">
      <c r="A78" s="13"/>
      <c r="B78" s="201" t="s">
        <v>56</v>
      </c>
      <c r="C78" s="192"/>
      <c r="D78" s="193"/>
    </row>
    <row r="79" spans="1:8">
      <c r="A79" s="13"/>
      <c r="B79" s="201" t="s">
        <v>57</v>
      </c>
      <c r="C79" s="192"/>
      <c r="D79" s="193"/>
    </row>
    <row r="80" ht="16.35" spans="1:8">
      <c r="A80" s="202"/>
      <c r="B80" s="203" t="s">
        <v>58</v>
      </c>
      <c r="C80" s="204"/>
      <c r="D80" s="205"/>
    </row>
  </sheetData>
  <mergeCells count="4">
    <mergeCell ref="A1:D1"/>
    <mergeCell ref="A2:D2"/>
    <mergeCell ref="C3:D3"/>
    <mergeCell ref="A9:D9"/>
  </mergeCells>
  <pageMargins left="0.984251968503937" right="0.393700787401575" top="0.61" bottom="1.75" header="5.14" footer="5.85"/>
  <pageSetup paperSize="1" scale="73" orientation="portrait"/>
  <headerFooter/>
  <rowBreaks count="1" manualBreakCount="1">
    <brk id="39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1"/>
  <sheetViews>
    <sheetView workbookViewId="0">
      <selection activeCell="L8" sqref="L8"/>
    </sheetView>
  </sheetViews>
  <sheetFormatPr defaultColWidth="9" defaultRowHeight="14.4"/>
  <cols>
    <col min="2" max="2" width="26.6666666666667" customWidth="1"/>
    <col min="3" max="3" width="24.3333333333333" customWidth="1"/>
    <col min="4" max="4" width="9.88888888888889" customWidth="1"/>
    <col min="6" max="6" width="10.1111111111111" customWidth="1"/>
    <col min="8" max="8" width="9.88888888888889" customWidth="1"/>
    <col min="9" max="9" width="11.3333333333333" customWidth="1"/>
    <col min="10" max="10" width="16.6666666666667" customWidth="1"/>
    <col min="12" max="12" width="10.5555555555556" customWidth="1"/>
    <col min="13" max="13" width="16.7777777777778" customWidth="1"/>
  </cols>
  <sheetData>
    <row r="1" ht="15.15" spans="1:13">
      <c r="A1" s="1"/>
      <c r="B1" s="1"/>
      <c r="C1" s="1"/>
      <c r="D1" s="1"/>
      <c r="E1" s="1"/>
      <c r="F1" s="1"/>
      <c r="G1" s="1"/>
      <c r="H1" s="1"/>
      <c r="I1" s="1"/>
      <c r="J1" s="1"/>
    </row>
    <row r="2" ht="43.95" spans="1:13">
      <c r="A2" s="2"/>
      <c r="B2" s="3" t="s">
        <v>128</v>
      </c>
      <c r="C2" s="4"/>
      <c r="D2" s="5" t="s">
        <v>60</v>
      </c>
      <c r="E2" s="5" t="s">
        <v>61</v>
      </c>
      <c r="F2" s="5" t="s">
        <v>62</v>
      </c>
      <c r="G2" s="5" t="s">
        <v>63</v>
      </c>
      <c r="H2" s="6" t="s">
        <v>64</v>
      </c>
      <c r="I2" s="5" t="s">
        <v>65</v>
      </c>
      <c r="J2" s="7" t="s">
        <v>9</v>
      </c>
    </row>
    <row r="3" spans="1:13">
      <c r="A3" s="8"/>
      <c r="B3" s="9"/>
      <c r="C3" s="10"/>
      <c r="D3" s="10"/>
      <c r="E3" s="10"/>
      <c r="F3" s="10"/>
      <c r="G3" s="10"/>
      <c r="H3" s="11"/>
      <c r="I3" s="10"/>
      <c r="J3" s="12"/>
    </row>
    <row r="4" spans="1:13">
      <c r="A4" s="13"/>
      <c r="B4" s="14"/>
      <c r="C4" s="15"/>
      <c r="D4" s="16"/>
      <c r="E4" s="16"/>
      <c r="F4" s="16"/>
      <c r="G4" s="16"/>
      <c r="H4" s="16"/>
      <c r="I4" s="16"/>
      <c r="J4" s="17"/>
      <c r="K4" s="18"/>
      <c r="L4" s="19"/>
      <c r="M4" s="19"/>
    </row>
    <row r="5" ht="18" spans="1:13">
      <c r="A5" s="13"/>
      <c r="B5" s="20" t="s">
        <v>66</v>
      </c>
      <c r="C5" s="21"/>
      <c r="D5" s="16"/>
      <c r="E5" s="16"/>
      <c r="F5" s="16"/>
      <c r="G5" s="16"/>
      <c r="H5" s="16"/>
      <c r="I5" s="16"/>
      <c r="J5" s="22"/>
      <c r="K5" s="18"/>
      <c r="L5" s="19"/>
      <c r="M5" s="19"/>
    </row>
    <row r="6" ht="15" spans="1:13">
      <c r="A6" s="13"/>
      <c r="B6" s="23" t="s">
        <v>184</v>
      </c>
      <c r="C6" s="15" t="s">
        <v>185</v>
      </c>
      <c r="D6" s="16">
        <v>2.6</v>
      </c>
      <c r="E6" s="16">
        <v>7</v>
      </c>
      <c r="F6" s="16">
        <f>D6*E6</f>
        <v>18.2</v>
      </c>
      <c r="G6" s="16">
        <v>1</v>
      </c>
      <c r="H6" s="16">
        <f>F6*G6</f>
        <v>18.2</v>
      </c>
      <c r="I6" s="16">
        <v>1550</v>
      </c>
      <c r="J6" s="24">
        <f>H6*I6</f>
        <v>28210</v>
      </c>
      <c r="K6" s="18"/>
      <c r="L6" s="19"/>
      <c r="M6" s="19"/>
    </row>
    <row r="7" ht="15" spans="1:13">
      <c r="A7" s="13"/>
      <c r="B7" s="25"/>
      <c r="C7" s="15" t="s">
        <v>69</v>
      </c>
      <c r="D7" s="16"/>
      <c r="E7" s="16"/>
      <c r="F7" s="16"/>
      <c r="G7" s="16">
        <v>1</v>
      </c>
      <c r="H7" s="16"/>
      <c r="I7" s="16">
        <v>3000</v>
      </c>
      <c r="J7" s="24">
        <f>G7*I7</f>
        <v>3000</v>
      </c>
      <c r="K7" s="18"/>
      <c r="L7" s="19"/>
      <c r="M7" s="19"/>
    </row>
    <row r="8" spans="1:13">
      <c r="A8" s="13"/>
      <c r="B8" s="14"/>
      <c r="C8" s="15"/>
      <c r="D8" s="16"/>
      <c r="E8" s="16"/>
      <c r="F8" s="16"/>
      <c r="G8" s="16"/>
      <c r="H8" s="16"/>
      <c r="I8" s="16"/>
      <c r="J8" s="26">
        <f>SUM(J6:J7)</f>
        <v>31210</v>
      </c>
      <c r="K8" s="18"/>
      <c r="L8" s="19"/>
      <c r="M8" s="19"/>
    </row>
    <row r="9" ht="15.15" spans="1:13">
      <c r="A9" s="13"/>
      <c r="B9" s="14"/>
      <c r="C9" s="15"/>
      <c r="D9" s="16"/>
      <c r="E9" s="16"/>
      <c r="F9" s="16"/>
      <c r="G9" s="16"/>
      <c r="H9" s="16"/>
      <c r="I9" s="16"/>
      <c r="J9" s="17"/>
      <c r="K9" s="18"/>
      <c r="L9" s="19"/>
      <c r="M9" s="19"/>
    </row>
    <row r="10" ht="18.75" spans="1:13">
      <c r="A10" s="13"/>
      <c r="B10" s="27" t="s">
        <v>25</v>
      </c>
      <c r="C10" s="28"/>
      <c r="D10" s="28"/>
      <c r="E10" s="29"/>
      <c r="F10" s="30"/>
      <c r="G10" s="29"/>
      <c r="H10" s="29"/>
      <c r="I10" s="29"/>
      <c r="J10" s="31"/>
      <c r="K10" s="18"/>
    </row>
    <row r="11" ht="15" spans="1:13">
      <c r="A11" s="13"/>
      <c r="B11" s="32" t="s">
        <v>73</v>
      </c>
      <c r="C11" s="33" t="s">
        <v>186</v>
      </c>
      <c r="D11" s="33"/>
      <c r="E11" s="33"/>
      <c r="F11" s="34"/>
      <c r="G11" s="33">
        <v>12</v>
      </c>
      <c r="H11" s="33"/>
      <c r="I11" s="33">
        <v>12000</v>
      </c>
      <c r="J11" s="35">
        <f t="shared" ref="J11" si="0">I11*G11</f>
        <v>144000</v>
      </c>
      <c r="K11" s="18"/>
    </row>
    <row r="12" ht="15" spans="1:13">
      <c r="A12" s="13"/>
      <c r="B12" s="36" t="s">
        <v>187</v>
      </c>
      <c r="C12" s="37" t="s">
        <v>188</v>
      </c>
      <c r="D12" s="37"/>
      <c r="E12" s="37"/>
      <c r="F12" s="38"/>
      <c r="G12" s="37">
        <v>1</v>
      </c>
      <c r="H12" s="37"/>
      <c r="I12" s="37">
        <v>7500</v>
      </c>
      <c r="J12" s="39">
        <f>G12*I12</f>
        <v>7500</v>
      </c>
      <c r="K12" s="18"/>
    </row>
    <row r="13" ht="15" spans="1:13">
      <c r="A13" s="13"/>
      <c r="B13" s="36"/>
      <c r="C13" s="37" t="s">
        <v>189</v>
      </c>
      <c r="D13" s="37"/>
      <c r="E13" s="37"/>
      <c r="F13" s="38"/>
      <c r="G13" s="37">
        <v>11</v>
      </c>
      <c r="H13" s="37"/>
      <c r="I13" s="37">
        <v>1500</v>
      </c>
      <c r="J13" s="39">
        <f>G13*I13</f>
        <v>16500</v>
      </c>
      <c r="K13" s="18"/>
    </row>
    <row r="14" ht="15" spans="1:13">
      <c r="A14" s="13"/>
      <c r="B14" s="36"/>
      <c r="C14" s="37" t="s">
        <v>190</v>
      </c>
      <c r="D14" s="37"/>
      <c r="E14" s="37"/>
      <c r="F14" s="38"/>
      <c r="G14" s="37">
        <v>3</v>
      </c>
      <c r="H14" s="37"/>
      <c r="I14" s="37">
        <v>1500</v>
      </c>
      <c r="J14" s="39">
        <f>G14*I14</f>
        <v>4500</v>
      </c>
      <c r="K14" s="18"/>
    </row>
    <row r="15" ht="15" spans="1:13">
      <c r="A15" s="13"/>
      <c r="B15" s="36"/>
      <c r="C15" s="37" t="s">
        <v>77</v>
      </c>
      <c r="D15" s="37"/>
      <c r="E15" s="37"/>
      <c r="F15" s="38"/>
      <c r="G15" s="37">
        <v>1</v>
      </c>
      <c r="H15" s="37"/>
      <c r="I15" s="37">
        <v>7500</v>
      </c>
      <c r="J15" s="39">
        <f t="shared" ref="J15:J17" si="1">I15*G15</f>
        <v>7500</v>
      </c>
      <c r="K15" s="18"/>
    </row>
    <row r="16" ht="15" spans="1:13">
      <c r="A16" s="13"/>
      <c r="B16" s="36"/>
      <c r="C16" s="37" t="s">
        <v>78</v>
      </c>
      <c r="D16" s="37"/>
      <c r="E16" s="37"/>
      <c r="F16" s="38"/>
      <c r="G16" s="37">
        <v>1</v>
      </c>
      <c r="H16" s="37"/>
      <c r="I16" s="37">
        <v>1500</v>
      </c>
      <c r="J16" s="39">
        <f t="shared" si="1"/>
        <v>1500</v>
      </c>
      <c r="K16" s="18"/>
    </row>
    <row r="17" ht="15.75" spans="1:13">
      <c r="A17" s="13"/>
      <c r="B17" s="36"/>
      <c r="C17" s="40" t="s">
        <v>191</v>
      </c>
      <c r="D17" s="40"/>
      <c r="E17" s="40"/>
      <c r="F17" s="41"/>
      <c r="G17" s="40">
        <v>1</v>
      </c>
      <c r="H17" s="40"/>
      <c r="I17" s="40">
        <v>6000</v>
      </c>
      <c r="J17" s="42">
        <f t="shared" si="1"/>
        <v>6000</v>
      </c>
      <c r="K17" s="18"/>
    </row>
    <row r="18" ht="15" spans="1:13">
      <c r="A18" s="13"/>
      <c r="B18" s="36"/>
      <c r="C18" s="37"/>
      <c r="D18" s="37"/>
      <c r="E18" s="37"/>
      <c r="F18" s="38"/>
      <c r="G18" s="37"/>
      <c r="H18" s="37"/>
      <c r="I18" s="37"/>
      <c r="J18" s="43">
        <f>SUM(J11:J17)</f>
        <v>187500</v>
      </c>
      <c r="K18" s="18"/>
    </row>
    <row r="19" ht="15.6" spans="1:13">
      <c r="A19" s="13"/>
      <c r="B19" s="44"/>
      <c r="C19" s="15"/>
      <c r="D19" s="15"/>
      <c r="E19" s="15"/>
      <c r="F19" s="16"/>
      <c r="G19" s="15"/>
      <c r="H19" s="15"/>
      <c r="I19" s="45"/>
      <c r="J19" s="46"/>
      <c r="K19" s="18"/>
    </row>
    <row r="20" ht="15" spans="1:13">
      <c r="A20" s="13"/>
      <c r="B20" s="47"/>
      <c r="C20" s="48"/>
      <c r="D20" s="48"/>
      <c r="E20" s="48"/>
      <c r="F20" s="48"/>
      <c r="G20" s="48"/>
      <c r="H20" s="48"/>
      <c r="I20" s="16"/>
      <c r="J20" s="22"/>
      <c r="K20" s="18"/>
    </row>
    <row r="21" spans="1:13">
      <c r="A21" s="13"/>
      <c r="B21" s="49" t="s">
        <v>89</v>
      </c>
      <c r="C21" s="50" t="s">
        <v>192</v>
      </c>
      <c r="D21" s="51">
        <v>9</v>
      </c>
      <c r="E21" s="51">
        <v>2.6</v>
      </c>
      <c r="F21" s="18">
        <f>D21*E21</f>
        <v>23.4</v>
      </c>
      <c r="G21" s="51">
        <v>1</v>
      </c>
      <c r="H21" s="51">
        <f>SUM(F21*G21)</f>
        <v>23.4</v>
      </c>
      <c r="I21" s="51">
        <v>1175</v>
      </c>
      <c r="J21" s="52">
        <f>SUM(I21*H21)</f>
        <v>27495</v>
      </c>
      <c r="K21" s="18"/>
    </row>
    <row r="22" spans="1:13">
      <c r="A22" s="13"/>
      <c r="B22" s="53" t="s">
        <v>91</v>
      </c>
      <c r="C22" s="54"/>
      <c r="D22" s="54"/>
      <c r="E22" s="54"/>
      <c r="F22" s="55"/>
      <c r="G22" s="54">
        <v>17</v>
      </c>
      <c r="H22" s="54"/>
      <c r="I22" s="54">
        <v>250</v>
      </c>
      <c r="J22" s="56">
        <f>G22*I22</f>
        <v>4250</v>
      </c>
      <c r="K22" s="18"/>
    </row>
    <row r="23" ht="15" spans="1:13">
      <c r="A23" s="13"/>
      <c r="B23" s="14"/>
      <c r="C23" s="51"/>
      <c r="D23" s="51"/>
      <c r="E23" s="51"/>
      <c r="F23" s="18"/>
      <c r="G23" s="51"/>
      <c r="H23" s="51"/>
      <c r="I23" s="51"/>
      <c r="J23" s="57">
        <f>SUM(J21:J22)</f>
        <v>31745</v>
      </c>
      <c r="K23" s="18"/>
      <c r="L23" s="19"/>
      <c r="M23" s="19"/>
    </row>
    <row r="24" ht="15" spans="1:13">
      <c r="A24" s="13"/>
      <c r="B24" s="14"/>
      <c r="C24" s="51"/>
      <c r="D24" s="51"/>
      <c r="E24" s="51"/>
      <c r="F24" s="18"/>
      <c r="G24" s="51"/>
      <c r="H24" s="51"/>
      <c r="I24" s="51"/>
      <c r="J24" s="58"/>
      <c r="K24" s="18"/>
      <c r="L24" s="19"/>
      <c r="M24" s="19"/>
    </row>
    <row r="25" ht="15" spans="1:13">
      <c r="A25" s="13"/>
      <c r="B25" s="49" t="s">
        <v>89</v>
      </c>
      <c r="C25" s="50" t="s">
        <v>192</v>
      </c>
      <c r="D25" s="51">
        <v>6.6</v>
      </c>
      <c r="E25" s="51">
        <v>2.6</v>
      </c>
      <c r="F25" s="18">
        <f>D25*E25</f>
        <v>17.16</v>
      </c>
      <c r="G25" s="51">
        <v>1</v>
      </c>
      <c r="H25" s="51">
        <f>SUM(F25*G25)</f>
        <v>17.16</v>
      </c>
      <c r="I25" s="51">
        <v>1175</v>
      </c>
      <c r="J25" s="52">
        <f>SUM(I25*H25)</f>
        <v>20163</v>
      </c>
      <c r="K25" s="18"/>
      <c r="L25" s="19"/>
      <c r="M25" s="57"/>
    </row>
    <row r="26" ht="15" spans="1:13">
      <c r="A26" s="13"/>
      <c r="B26" s="53" t="s">
        <v>91</v>
      </c>
      <c r="C26" s="54"/>
      <c r="D26" s="54"/>
      <c r="E26" s="54"/>
      <c r="F26" s="55"/>
      <c r="G26" s="54">
        <v>14.6</v>
      </c>
      <c r="H26" s="54"/>
      <c r="I26" s="54">
        <v>250</v>
      </c>
      <c r="J26" s="56">
        <f>G26*I26</f>
        <v>3650</v>
      </c>
      <c r="K26" s="18"/>
      <c r="L26" s="19"/>
      <c r="M26" s="57"/>
    </row>
    <row r="27" ht="15" spans="1:13">
      <c r="A27" s="13"/>
      <c r="B27" s="14"/>
      <c r="C27" s="51"/>
      <c r="D27" s="51"/>
      <c r="E27" s="51"/>
      <c r="F27" s="18"/>
      <c r="G27" s="51"/>
      <c r="H27" s="51"/>
      <c r="I27" s="51"/>
      <c r="J27" s="57">
        <f>SUM(J25:J26)</f>
        <v>23813</v>
      </c>
      <c r="K27" s="18"/>
      <c r="L27" s="19"/>
      <c r="M27" s="19"/>
    </row>
    <row r="28" ht="15" spans="1:13">
      <c r="A28" s="13"/>
      <c r="B28" s="14"/>
      <c r="C28" s="51"/>
      <c r="D28" s="51"/>
      <c r="E28" s="51"/>
      <c r="F28" s="18"/>
      <c r="G28" s="51"/>
      <c r="H28" s="51"/>
      <c r="I28" s="51"/>
      <c r="J28" s="58"/>
      <c r="K28" s="18"/>
      <c r="L28" s="19">
        <f>SUM(J27,J23)</f>
        <v>55558</v>
      </c>
      <c r="M28" s="19"/>
    </row>
    <row r="29" spans="1:13">
      <c r="A29" s="13"/>
      <c r="B29" s="59" t="s">
        <v>193</v>
      </c>
      <c r="C29" s="15" t="s">
        <v>93</v>
      </c>
      <c r="D29" s="15">
        <v>9.3</v>
      </c>
      <c r="E29" s="15">
        <v>2</v>
      </c>
      <c r="F29" s="16">
        <f>SUM(E29*D29)</f>
        <v>18.6</v>
      </c>
      <c r="G29" s="15">
        <v>1</v>
      </c>
      <c r="H29" s="15">
        <f>SUM(F29*G29)</f>
        <v>18.6</v>
      </c>
      <c r="I29" s="15">
        <v>2125</v>
      </c>
      <c r="J29" s="60">
        <f>SUM(I29*H29)</f>
        <v>39525</v>
      </c>
      <c r="K29" s="18"/>
      <c r="L29" s="19"/>
      <c r="M29" s="19"/>
    </row>
    <row r="30" spans="1:13">
      <c r="A30" s="13"/>
      <c r="B30" s="61" t="s">
        <v>194</v>
      </c>
      <c r="C30" s="45" t="s">
        <v>95</v>
      </c>
      <c r="D30" s="45"/>
      <c r="E30" s="45"/>
      <c r="F30" s="62">
        <v>9.3</v>
      </c>
      <c r="G30" s="45">
        <v>1</v>
      </c>
      <c r="H30" s="45">
        <f>F30*G30</f>
        <v>9.3</v>
      </c>
      <c r="I30" s="45">
        <v>250</v>
      </c>
      <c r="J30" s="63">
        <f>H30*I30</f>
        <v>2325</v>
      </c>
      <c r="K30" s="18"/>
      <c r="L30" s="19"/>
      <c r="M30" s="19"/>
    </row>
    <row r="31" ht="15" spans="1:13">
      <c r="A31" s="13"/>
      <c r="B31" s="64"/>
      <c r="C31" s="15"/>
      <c r="D31" s="15"/>
      <c r="E31" s="15"/>
      <c r="F31" s="16"/>
      <c r="G31" s="15"/>
      <c r="H31" s="15"/>
      <c r="I31" s="15"/>
      <c r="J31" s="57">
        <f>SUM(J29:J30)</f>
        <v>41850</v>
      </c>
      <c r="K31" s="18"/>
      <c r="L31" s="19"/>
      <c r="M31" s="19"/>
    </row>
    <row r="32" ht="15" spans="1:13">
      <c r="A32" s="13"/>
      <c r="B32" s="64"/>
      <c r="C32" s="15"/>
      <c r="D32" s="15"/>
      <c r="E32" s="15"/>
      <c r="F32" s="16"/>
      <c r="G32" s="15"/>
      <c r="H32" s="15"/>
      <c r="I32" s="15"/>
      <c r="J32" s="58"/>
      <c r="K32" s="18"/>
      <c r="L32" s="19"/>
      <c r="M32" s="19"/>
    </row>
    <row r="33" spans="1:13">
      <c r="A33" s="13"/>
      <c r="B33" s="59" t="s">
        <v>195</v>
      </c>
      <c r="C33" s="15" t="s">
        <v>196</v>
      </c>
      <c r="D33" s="15">
        <v>9.3</v>
      </c>
      <c r="E33" s="15">
        <v>2</v>
      </c>
      <c r="F33" s="16">
        <f>SUM(E33*D33)</f>
        <v>18.6</v>
      </c>
      <c r="G33" s="15">
        <v>1</v>
      </c>
      <c r="H33" s="15">
        <f>SUM(F33*G33)</f>
        <v>18.6</v>
      </c>
      <c r="I33" s="15">
        <v>1350</v>
      </c>
      <c r="J33" s="60">
        <f>SUM(I33*H33)</f>
        <v>25110</v>
      </c>
      <c r="K33" s="18"/>
      <c r="L33" s="19"/>
      <c r="M33" s="19"/>
    </row>
    <row r="34" spans="1:13">
      <c r="A34" s="13"/>
      <c r="B34" s="61"/>
      <c r="C34" s="45" t="s">
        <v>95</v>
      </c>
      <c r="D34" s="45"/>
      <c r="E34" s="45"/>
      <c r="F34" s="62">
        <v>9.3</v>
      </c>
      <c r="G34" s="45">
        <v>1</v>
      </c>
      <c r="H34" s="45">
        <f>F34*G34</f>
        <v>9.3</v>
      </c>
      <c r="I34" s="45">
        <v>250</v>
      </c>
      <c r="J34" s="63">
        <f>H34*I34</f>
        <v>2325</v>
      </c>
      <c r="K34" s="18"/>
      <c r="L34" s="19"/>
      <c r="M34" s="19"/>
    </row>
    <row r="35" ht="15" spans="1:13">
      <c r="A35" s="13"/>
      <c r="B35" s="64"/>
      <c r="C35" s="15"/>
      <c r="D35" s="15"/>
      <c r="E35" s="15"/>
      <c r="F35" s="16"/>
      <c r="G35" s="15"/>
      <c r="H35" s="15"/>
      <c r="I35" s="15"/>
      <c r="J35" s="57">
        <f>SUM(J33:J34)</f>
        <v>27435</v>
      </c>
      <c r="K35" s="18"/>
      <c r="L35" s="19"/>
      <c r="M35" s="19"/>
    </row>
    <row r="36" ht="15" spans="1:13">
      <c r="A36" s="13"/>
      <c r="B36" s="14"/>
      <c r="C36" s="51"/>
      <c r="D36" s="51"/>
      <c r="E36" s="51"/>
      <c r="F36" s="18"/>
      <c r="G36" s="51"/>
      <c r="H36" s="51"/>
      <c r="I36" s="51"/>
      <c r="J36" s="58"/>
      <c r="K36" s="18"/>
    </row>
    <row r="37" ht="15" spans="1:13">
      <c r="A37" s="13"/>
      <c r="B37" s="64"/>
      <c r="C37" s="15"/>
      <c r="D37" s="15"/>
      <c r="E37" s="15"/>
      <c r="F37" s="16"/>
      <c r="G37" s="15"/>
      <c r="H37" s="15"/>
      <c r="I37" s="15"/>
      <c r="J37" s="58"/>
      <c r="K37" s="18"/>
    </row>
    <row r="38" spans="1:13">
      <c r="A38" s="13"/>
      <c r="B38" s="59" t="s">
        <v>197</v>
      </c>
      <c r="C38" s="15" t="s">
        <v>198</v>
      </c>
      <c r="D38" s="15">
        <v>6.6</v>
      </c>
      <c r="E38" s="15">
        <v>2</v>
      </c>
      <c r="F38" s="16">
        <f>SUM(E38*D38)</f>
        <v>13.2</v>
      </c>
      <c r="G38" s="15">
        <v>1</v>
      </c>
      <c r="H38" s="15">
        <f>SUM(F38*G38)</f>
        <v>13.2</v>
      </c>
      <c r="I38" s="15">
        <v>2125</v>
      </c>
      <c r="J38" s="60">
        <f>SUM(I38*H38)</f>
        <v>28050</v>
      </c>
      <c r="K38" s="18"/>
    </row>
    <row r="39" spans="1:13">
      <c r="A39" s="13"/>
      <c r="B39" s="59"/>
      <c r="C39" s="15" t="s">
        <v>199</v>
      </c>
      <c r="D39" s="15">
        <v>3.5</v>
      </c>
      <c r="E39" s="15">
        <v>2</v>
      </c>
      <c r="F39" s="16">
        <f>SUM(E39*D39)</f>
        <v>7</v>
      </c>
      <c r="G39" s="15">
        <v>1</v>
      </c>
      <c r="H39" s="15">
        <f>SUM(F39*G39)</f>
        <v>7</v>
      </c>
      <c r="I39" s="15">
        <v>350</v>
      </c>
      <c r="J39" s="60">
        <f>SUM(I39*H39)</f>
        <v>2450</v>
      </c>
      <c r="K39" s="18"/>
    </row>
    <row r="40" spans="1:13">
      <c r="A40" s="13"/>
      <c r="B40" s="61"/>
      <c r="C40" s="45" t="s">
        <v>95</v>
      </c>
      <c r="D40" s="45"/>
      <c r="E40" s="45"/>
      <c r="F40" s="62">
        <v>6.5</v>
      </c>
      <c r="G40" s="45">
        <v>1</v>
      </c>
      <c r="H40" s="45">
        <f>F40*G40</f>
        <v>6.5</v>
      </c>
      <c r="I40" s="45">
        <v>250</v>
      </c>
      <c r="J40" s="63">
        <f>H40*I40</f>
        <v>1625</v>
      </c>
      <c r="K40" s="18"/>
    </row>
    <row r="41" ht="15" spans="1:13">
      <c r="A41" s="13"/>
      <c r="B41" s="64"/>
      <c r="C41" s="15"/>
      <c r="D41" s="15"/>
      <c r="E41" s="15"/>
      <c r="F41" s="16"/>
      <c r="G41" s="15"/>
      <c r="H41" s="15"/>
      <c r="I41" s="15"/>
      <c r="J41" s="57">
        <f>SUM(J38:J40)</f>
        <v>32125</v>
      </c>
      <c r="K41" s="18"/>
      <c r="L41" s="19">
        <f>J41*5%</f>
        <v>1606.25</v>
      </c>
      <c r="M41" s="19">
        <f>J41+L41</f>
        <v>33731.25</v>
      </c>
    </row>
    <row r="42" ht="15" spans="1:13">
      <c r="A42" s="13"/>
      <c r="B42" s="14"/>
      <c r="C42" s="51"/>
      <c r="D42" s="51"/>
      <c r="E42" s="51"/>
      <c r="F42" s="18"/>
      <c r="G42" s="51"/>
      <c r="H42" s="51"/>
      <c r="I42" s="51"/>
      <c r="J42" s="58"/>
      <c r="K42" s="18"/>
    </row>
    <row r="43" ht="15" spans="1:13">
      <c r="A43" s="65"/>
      <c r="B43" s="64"/>
      <c r="C43" s="15"/>
      <c r="D43" s="15"/>
      <c r="E43" s="15"/>
      <c r="F43" s="16"/>
      <c r="G43" s="15"/>
      <c r="H43" s="15"/>
      <c r="I43" s="15"/>
      <c r="J43" s="58"/>
      <c r="K43" s="18"/>
    </row>
    <row r="44" spans="1:13">
      <c r="A44" s="65"/>
      <c r="B44" s="59" t="s">
        <v>200</v>
      </c>
      <c r="C44" s="15" t="s">
        <v>196</v>
      </c>
      <c r="D44" s="15">
        <v>6.6</v>
      </c>
      <c r="E44" s="15">
        <v>2</v>
      </c>
      <c r="F44" s="16">
        <f>SUM(E44*D44)</f>
        <v>13.2</v>
      </c>
      <c r="G44" s="15">
        <v>1</v>
      </c>
      <c r="H44" s="15">
        <f>SUM(F44*G44)</f>
        <v>13.2</v>
      </c>
      <c r="I44" s="15">
        <v>1350</v>
      </c>
      <c r="J44" s="60">
        <f>SUM(I44*H44)</f>
        <v>17820</v>
      </c>
      <c r="K44" s="18"/>
    </row>
    <row r="45" spans="1:13">
      <c r="A45" s="65"/>
      <c r="B45" s="61"/>
      <c r="C45" s="45" t="s">
        <v>95</v>
      </c>
      <c r="D45" s="45"/>
      <c r="E45" s="45"/>
      <c r="F45" s="62">
        <v>6.6</v>
      </c>
      <c r="G45" s="45">
        <v>1</v>
      </c>
      <c r="H45" s="45">
        <f>F45*G45</f>
        <v>6.6</v>
      </c>
      <c r="I45" s="45">
        <v>250</v>
      </c>
      <c r="J45" s="63">
        <f>H45*I45</f>
        <v>1650</v>
      </c>
      <c r="K45" s="18"/>
    </row>
    <row r="46" ht="15" spans="1:13">
      <c r="A46" s="65"/>
      <c r="B46" s="64"/>
      <c r="C46" s="15"/>
      <c r="D46" s="15"/>
      <c r="E46" s="15"/>
      <c r="F46" s="16"/>
      <c r="G46" s="15"/>
      <c r="H46" s="15"/>
      <c r="I46" s="15"/>
      <c r="J46" s="57">
        <f>SUM(J44:J45)</f>
        <v>19470</v>
      </c>
      <c r="K46" s="18"/>
      <c r="L46" s="19">
        <f>J46*5%</f>
        <v>973.5</v>
      </c>
      <c r="M46" s="19">
        <f>J46+L46</f>
        <v>20443.5</v>
      </c>
    </row>
    <row r="47" ht="15.75" spans="1:13">
      <c r="A47" s="65"/>
      <c r="B47" s="66"/>
      <c r="C47" s="67"/>
      <c r="D47" s="67"/>
      <c r="E47" s="67"/>
      <c r="F47" s="68"/>
      <c r="G47" s="67"/>
      <c r="H47" s="67"/>
      <c r="I47" s="67"/>
      <c r="J47" s="69"/>
      <c r="K47" s="18"/>
    </row>
    <row r="48" ht="18" spans="1:13">
      <c r="A48" s="13"/>
      <c r="B48" s="27" t="s">
        <v>98</v>
      </c>
      <c r="C48" s="28"/>
      <c r="D48" s="28"/>
      <c r="E48" s="70"/>
      <c r="F48" s="70"/>
      <c r="G48" s="70"/>
      <c r="H48" s="70"/>
      <c r="I48" s="70"/>
      <c r="J48" s="71"/>
      <c r="K48" s="18"/>
    </row>
    <row r="49" spans="1:13">
      <c r="A49" s="13"/>
      <c r="B49" s="14"/>
      <c r="C49" s="16"/>
      <c r="D49" s="16"/>
      <c r="E49" s="16"/>
      <c r="F49" s="16"/>
      <c r="G49" s="16"/>
      <c r="H49" s="16"/>
      <c r="I49" s="16"/>
      <c r="J49" s="22"/>
      <c r="K49" s="18"/>
    </row>
    <row r="50" ht="15.6" spans="1:13">
      <c r="A50" s="13"/>
      <c r="B50" s="72" t="s">
        <v>99</v>
      </c>
      <c r="C50" s="73" t="s">
        <v>100</v>
      </c>
      <c r="D50" s="62">
        <v>6</v>
      </c>
      <c r="E50" s="62">
        <v>6.5</v>
      </c>
      <c r="F50" s="62">
        <f>D50*E50</f>
        <v>39</v>
      </c>
      <c r="G50" s="62">
        <v>1</v>
      </c>
      <c r="H50" s="62">
        <f>F50*G50</f>
        <v>39</v>
      </c>
      <c r="I50" s="62"/>
      <c r="J50" s="74">
        <v>48500</v>
      </c>
      <c r="K50" s="18"/>
    </row>
    <row r="51" ht="15.6" spans="1:13">
      <c r="A51" s="13"/>
      <c r="B51" s="75" t="s">
        <v>201</v>
      </c>
      <c r="C51" s="73" t="s">
        <v>102</v>
      </c>
      <c r="D51" s="15">
        <v>6.5</v>
      </c>
      <c r="E51" s="15">
        <v>2</v>
      </c>
      <c r="F51" s="16"/>
      <c r="G51" s="15"/>
      <c r="H51" s="15"/>
      <c r="I51" s="15"/>
      <c r="J51" s="60">
        <v>7000</v>
      </c>
      <c r="K51" s="18"/>
    </row>
    <row r="52" ht="15.6" spans="1:13">
      <c r="A52" s="13"/>
      <c r="B52" s="75"/>
      <c r="C52" s="16"/>
      <c r="D52" s="16"/>
      <c r="E52" s="16"/>
      <c r="F52" s="16"/>
      <c r="G52" s="16"/>
      <c r="H52" s="16"/>
      <c r="I52" s="15"/>
      <c r="J52" s="22">
        <f>SUM(J50:J51)</f>
        <v>55500</v>
      </c>
      <c r="K52" s="18"/>
    </row>
    <row r="53" ht="15.6" spans="1:13">
      <c r="A53" s="13"/>
      <c r="B53" s="75"/>
      <c r="C53" s="16"/>
      <c r="D53" s="16"/>
      <c r="E53" s="16"/>
      <c r="F53" s="16"/>
      <c r="G53" s="16"/>
      <c r="H53" s="16"/>
      <c r="I53" s="15"/>
      <c r="J53" s="22"/>
      <c r="K53" s="18"/>
    </row>
    <row r="54" ht="15.6" spans="1:13">
      <c r="A54" s="13"/>
      <c r="B54" s="75" t="s">
        <v>157</v>
      </c>
      <c r="C54" s="76" t="s">
        <v>100</v>
      </c>
      <c r="D54" s="77">
        <v>1.6</v>
      </c>
      <c r="E54" s="77">
        <v>1.6</v>
      </c>
      <c r="F54" s="65">
        <f>SUM(E54*D54)</f>
        <v>2.56</v>
      </c>
      <c r="G54" s="77">
        <v>1</v>
      </c>
      <c r="H54" s="77">
        <f>SUM(F54*G54)</f>
        <v>2.56</v>
      </c>
      <c r="I54" s="77">
        <v>1350</v>
      </c>
      <c r="J54" s="60">
        <f t="shared" ref="J54:J55" si="2">SUM(I54*H54)</f>
        <v>3456</v>
      </c>
      <c r="K54" s="18"/>
    </row>
    <row r="55" ht="15.6" spans="1:13">
      <c r="A55" s="13"/>
      <c r="B55" s="75"/>
      <c r="C55" s="45" t="s">
        <v>202</v>
      </c>
      <c r="D55" s="45"/>
      <c r="E55" s="45"/>
      <c r="F55" s="62"/>
      <c r="G55" s="45"/>
      <c r="H55" s="45">
        <v>2</v>
      </c>
      <c r="I55" s="45">
        <v>2000</v>
      </c>
      <c r="J55" s="63">
        <f t="shared" si="2"/>
        <v>4000</v>
      </c>
      <c r="K55" s="18"/>
    </row>
    <row r="56" ht="15.6" spans="1:13">
      <c r="A56" s="13"/>
      <c r="B56" s="75"/>
      <c r="C56" s="65"/>
      <c r="D56" s="65"/>
      <c r="E56" s="65"/>
      <c r="F56" s="65"/>
      <c r="G56" s="65"/>
      <c r="H56" s="65"/>
      <c r="I56" s="77"/>
      <c r="J56" s="22">
        <f>SUM(J54:J55)</f>
        <v>7456</v>
      </c>
      <c r="K56" s="18"/>
    </row>
    <row r="57" ht="15.6" spans="1:13">
      <c r="A57" s="13"/>
      <c r="B57" s="75"/>
      <c r="C57" s="16"/>
      <c r="D57" s="16"/>
      <c r="E57" s="16"/>
      <c r="F57" s="16"/>
      <c r="G57" s="16"/>
      <c r="H57" s="16"/>
      <c r="I57" s="15"/>
      <c r="J57" s="22"/>
      <c r="K57" s="18"/>
    </row>
    <row r="58" ht="15" spans="1:13">
      <c r="A58" s="13"/>
      <c r="B58" s="78" t="s">
        <v>105</v>
      </c>
      <c r="C58" s="73" t="s">
        <v>100</v>
      </c>
      <c r="D58" s="15">
        <v>6.6</v>
      </c>
      <c r="E58" s="15">
        <v>7</v>
      </c>
      <c r="F58" s="16">
        <f>D58*E58</f>
        <v>46.2</v>
      </c>
      <c r="G58" s="15">
        <v>1</v>
      </c>
      <c r="H58" s="15">
        <f>F58*G58</f>
        <v>46.2</v>
      </c>
      <c r="I58" s="15">
        <v>1550</v>
      </c>
      <c r="J58" s="60">
        <f>H58*I58</f>
        <v>71610</v>
      </c>
      <c r="K58" s="18"/>
    </row>
    <row r="59" ht="15.6" spans="1:13">
      <c r="A59" s="13"/>
      <c r="B59" s="75"/>
      <c r="C59" s="16"/>
      <c r="D59" s="16"/>
      <c r="E59" s="16"/>
      <c r="F59" s="16"/>
      <c r="G59" s="16"/>
      <c r="H59" s="16"/>
      <c r="I59" s="15"/>
      <c r="J59" s="22">
        <f>SUM(J58:J58)</f>
        <v>71610</v>
      </c>
      <c r="K59" s="18"/>
      <c r="L59" s="19">
        <f>J59*5%</f>
        <v>3580.5</v>
      </c>
      <c r="M59" s="19">
        <f>J59+L59</f>
        <v>75190.5</v>
      </c>
    </row>
    <row r="60" ht="15.6" spans="1:13">
      <c r="A60" s="13"/>
      <c r="B60" s="75"/>
      <c r="C60" s="16"/>
      <c r="D60" s="16"/>
      <c r="E60" s="16"/>
      <c r="F60" s="16"/>
      <c r="G60" s="16"/>
      <c r="H60" s="16"/>
      <c r="I60" s="15"/>
      <c r="J60" s="22"/>
      <c r="K60" s="18"/>
    </row>
    <row r="61" spans="1:13">
      <c r="A61" s="13"/>
      <c r="B61" s="59" t="s">
        <v>108</v>
      </c>
      <c r="C61" s="15" t="s">
        <v>109</v>
      </c>
      <c r="D61" s="15">
        <v>6.6</v>
      </c>
      <c r="E61" s="15">
        <v>2</v>
      </c>
      <c r="F61" s="16">
        <f>SUM(E61*D61)</f>
        <v>13.2</v>
      </c>
      <c r="G61" s="15">
        <v>1</v>
      </c>
      <c r="H61" s="15">
        <f>SUM(F61*G61)</f>
        <v>13.2</v>
      </c>
      <c r="I61" s="15">
        <v>1175</v>
      </c>
      <c r="J61" s="60">
        <f>SUM(I61*H61)</f>
        <v>15510</v>
      </c>
      <c r="K61" s="18"/>
    </row>
    <row r="62" spans="1:13">
      <c r="A62" s="13"/>
      <c r="B62" s="61"/>
      <c r="C62" s="45" t="s">
        <v>95</v>
      </c>
      <c r="D62" s="45"/>
      <c r="E62" s="45"/>
      <c r="F62" s="62">
        <v>6.6</v>
      </c>
      <c r="G62" s="45">
        <v>1</v>
      </c>
      <c r="H62" s="45">
        <f>F62*G62</f>
        <v>6.6</v>
      </c>
      <c r="I62" s="45">
        <v>250</v>
      </c>
      <c r="J62" s="63">
        <f>H62*I62</f>
        <v>1650</v>
      </c>
      <c r="K62" s="18"/>
    </row>
    <row r="63" ht="15" spans="1:13">
      <c r="A63" s="13"/>
      <c r="B63" s="64"/>
      <c r="C63" s="15"/>
      <c r="D63" s="15"/>
      <c r="E63" s="15"/>
      <c r="F63" s="16"/>
      <c r="G63" s="15"/>
      <c r="H63" s="15"/>
      <c r="I63" s="15"/>
      <c r="J63" s="57">
        <f>SUM(J61:J62)</f>
        <v>17160</v>
      </c>
      <c r="K63" s="18"/>
    </row>
    <row r="64" ht="15.6" spans="1:13">
      <c r="A64" s="13"/>
      <c r="B64" s="75"/>
      <c r="C64" s="16"/>
      <c r="D64" s="16"/>
      <c r="E64" s="16"/>
      <c r="F64" s="16"/>
      <c r="G64" s="16"/>
      <c r="H64" s="16"/>
      <c r="I64" s="15"/>
      <c r="J64" s="22"/>
      <c r="K64" s="18"/>
    </row>
    <row r="65" ht="15" spans="1:13">
      <c r="A65" s="13"/>
      <c r="B65" s="79" t="s">
        <v>110</v>
      </c>
      <c r="C65" s="73" t="s">
        <v>111</v>
      </c>
      <c r="D65" s="62">
        <v>3</v>
      </c>
      <c r="E65" s="62">
        <v>2</v>
      </c>
      <c r="F65" s="62">
        <f>D65*E65</f>
        <v>6</v>
      </c>
      <c r="G65" s="62">
        <v>1</v>
      </c>
      <c r="H65" s="62">
        <f>F65*G65</f>
        <v>6</v>
      </c>
      <c r="I65" s="45">
        <v>650</v>
      </c>
      <c r="J65" s="80">
        <f>H65*I65</f>
        <v>3900</v>
      </c>
      <c r="K65" s="18"/>
      <c r="L65" s="19">
        <f>J65*5%</f>
        <v>195</v>
      </c>
      <c r="M65" s="19">
        <f>J65+L65</f>
        <v>4095</v>
      </c>
    </row>
    <row r="66" ht="15" spans="1:13">
      <c r="A66" s="13"/>
      <c r="B66" s="81"/>
      <c r="C66" s="15" t="s">
        <v>203</v>
      </c>
      <c r="D66" s="16">
        <v>3</v>
      </c>
      <c r="E66" s="16">
        <v>1</v>
      </c>
      <c r="F66" s="16">
        <f>D66*E66</f>
        <v>3</v>
      </c>
      <c r="G66" s="16">
        <v>1</v>
      </c>
      <c r="H66" s="16">
        <f>F66*G66</f>
        <v>3</v>
      </c>
      <c r="I66" s="16">
        <v>1550</v>
      </c>
      <c r="J66" s="24">
        <f>H66*I66</f>
        <v>4650</v>
      </c>
      <c r="K66" s="18"/>
      <c r="L66" s="19"/>
      <c r="M66" s="19"/>
    </row>
    <row r="67" spans="1:13">
      <c r="A67" s="13"/>
      <c r="B67" s="14"/>
      <c r="C67" s="15" t="s">
        <v>69</v>
      </c>
      <c r="D67" s="16"/>
      <c r="E67" s="16"/>
      <c r="F67" s="16"/>
      <c r="G67" s="16">
        <v>2</v>
      </c>
      <c r="H67" s="16"/>
      <c r="I67" s="16">
        <v>2000</v>
      </c>
      <c r="J67" s="24">
        <f>G67*I67</f>
        <v>4000</v>
      </c>
      <c r="K67" s="18"/>
    </row>
    <row r="68" spans="1:13">
      <c r="A68" s="13"/>
      <c r="B68" s="14"/>
      <c r="C68" s="16"/>
      <c r="D68" s="16"/>
      <c r="E68" s="16"/>
      <c r="F68" s="16"/>
      <c r="G68" s="16"/>
      <c r="H68" s="16"/>
      <c r="I68" s="15"/>
      <c r="J68" s="22">
        <f>SUM(J65:J67)</f>
        <v>12550</v>
      </c>
      <c r="K68" s="18"/>
    </row>
    <row r="69" ht="15.15" spans="1:13">
      <c r="A69" s="13"/>
      <c r="B69" s="82"/>
      <c r="C69" s="68"/>
      <c r="D69" s="68"/>
      <c r="E69" s="68"/>
      <c r="F69" s="68"/>
      <c r="G69" s="68"/>
      <c r="H69" s="68"/>
      <c r="I69" s="67"/>
      <c r="J69" s="83"/>
      <c r="K69" s="18"/>
    </row>
    <row r="70" ht="15" spans="1:13">
      <c r="B70" s="84" t="s">
        <v>204</v>
      </c>
      <c r="C70" s="73" t="s">
        <v>205</v>
      </c>
      <c r="D70" s="54"/>
      <c r="E70" s="54"/>
      <c r="F70" s="55"/>
      <c r="G70" s="54">
        <v>560</v>
      </c>
      <c r="H70" s="54"/>
      <c r="I70" s="54">
        <v>110</v>
      </c>
      <c r="J70" s="85">
        <f>G70*I70</f>
        <v>61600</v>
      </c>
      <c r="K70" s="16"/>
      <c r="L70" s="18"/>
    </row>
    <row r="71" ht="15.6" spans="1:13">
      <c r="C71" s="86"/>
      <c r="D71" s="16"/>
      <c r="E71" s="16"/>
      <c r="F71" s="16"/>
      <c r="G71" s="16"/>
      <c r="H71" s="16"/>
      <c r="I71" s="16"/>
      <c r="J71" s="15"/>
      <c r="K71" s="87"/>
      <c r="L71" s="18"/>
    </row>
  </sheetData>
  <mergeCells count="3">
    <mergeCell ref="B2:C2"/>
    <mergeCell ref="B10:D10"/>
    <mergeCell ref="B48:D48"/>
  </mergeCells>
  <pageMargins left="0.25" right="0.25" top="0.75" bottom="0.75" header="0.3" footer="0.3"/>
  <pageSetup paperSize="9" scale="61" orientation="portrait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olive+HGL</vt:lpstr>
      <vt:lpstr>olive Workbook</vt:lpstr>
      <vt:lpstr>HETTICH+ACRYLIC</vt:lpstr>
      <vt:lpstr>Hettich work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sarthak</cp:lastModifiedBy>
  <dcterms:created xsi:type="dcterms:W3CDTF">2012-04-27T09:36:00Z</dcterms:created>
  <cp:lastPrinted>2026-05-20T13:44:00Z</cp:lastPrinted>
  <dcterms:modified xsi:type="dcterms:W3CDTF">2026-05-25T16:58:11Z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105080F0231042EBB5059A70B5540520_13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